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1" codeName="{E39A1632-A8E3-4493-0D71-6A188D42057B}"/>
  <workbookPr codeName="ThisWorkbook" defaultThemeVersion="124226"/>
  <mc:AlternateContent xmlns:mc="http://schemas.openxmlformats.org/markup-compatibility/2006">
    <mc:Choice Requires="x15">
      <x15ac:absPath xmlns:x15ac="http://schemas.microsoft.com/office/spreadsheetml/2010/11/ac" url="/Users/antoniosferreira/Documents/College/Thesis/ts-generate/inputs/"/>
    </mc:Choice>
  </mc:AlternateContent>
  <xr:revisionPtr revIDLastSave="0" documentId="13_ncr:1_{CB54ED51-B40A-AD4B-9DA5-8976654689AE}" xr6:coauthVersionLast="47" xr6:coauthVersionMax="47" xr10:uidLastSave="{00000000-0000-0000-0000-000000000000}"/>
  <bookViews>
    <workbookView xWindow="0" yWindow="760" windowWidth="28800" windowHeight="17500" firstSheet="3" activeTab="19" xr2:uid="{36608BA2-FF8E-A247-9CD9-0BC7412D0973}"/>
  </bookViews>
  <sheets>
    <sheet name="Index" sheetId="4" r:id="rId1"/>
    <sheet name="Intro.Business" sheetId="28" state="hidden" r:id="rId2"/>
    <sheet name="Intro.System" sheetId="20" r:id="rId3"/>
    <sheet name="Subject.Stakeholders" sheetId="7" r:id="rId4"/>
    <sheet name="Subject.Actors" sheetId="10" r:id="rId5"/>
    <sheet name="Action.Tasks" sheetId="31" state="hidden" r:id="rId6"/>
    <sheet name="Action.Events" sheetId="30" state="hidden" r:id="rId7"/>
    <sheet name="Action.Flows" sheetId="32" state="hidden" r:id="rId8"/>
    <sheet name="Action.StateMachines" sheetId="26" state="hidden" r:id="rId9"/>
    <sheet name="Object.DataEntities.Complete" sheetId="45" state="hidden" r:id="rId10"/>
    <sheet name="Object.DataEntityClusters" sheetId="27" state="hidden" r:id="rId11"/>
    <sheet name="R.Goals" sheetId="8" state="hidden" r:id="rId12"/>
    <sheet name="R.FRs" sheetId="14" state="hidden" r:id="rId13"/>
    <sheet name="Object.DataEntity" sheetId="81" r:id="rId14"/>
    <sheet name="Object.DataEntityAttributes" sheetId="79" r:id="rId15"/>
    <sheet name="Object.DataEntityValues" sheetId="80" r:id="rId16"/>
    <sheet name="Object.DataEntityCluster" sheetId="82" r:id="rId17"/>
    <sheet name="R.Themes" sheetId="49" r:id="rId18"/>
    <sheet name="R.UserStories" sheetId="35" r:id="rId19"/>
    <sheet name="R.AcceptanceCriteria" sheetId="77" r:id="rId20"/>
    <sheet name="R.QRs" sheetId="17" r:id="rId21"/>
    <sheet name="R.Constraints" sheetId="19" state="hidden" r:id="rId22"/>
    <sheet name="R.UseCases" sheetId="11" state="hidden" r:id="rId23"/>
    <sheet name="R.UseCases.Complete" sheetId="46" state="hidden" r:id="rId24"/>
    <sheet name="R.UseCases.Scenarios" sheetId="18" state="hidden" r:id="rId25"/>
    <sheet name="Other.Glossary" sheetId="3" r:id="rId26"/>
    <sheet name="Other.Risks" sheetId="42" r:id="rId27"/>
    <sheet name="Other.Vulnerabilities" sheetId="43" r:id="rId28"/>
    <sheet name="Relations.Actions" sheetId="36" r:id="rId29"/>
    <sheet name="Relations.Systems" sheetId="21" r:id="rId30"/>
    <sheet name="Relations.Reqs" sheetId="24" r:id="rId31"/>
    <sheet name=".copyright" sheetId="1" r:id="rId32"/>
    <sheet name=".config" sheetId="44" r:id="rId33"/>
  </sheets>
  <functionGroups builtInGroupCount="19"/>
  <definedNames>
    <definedName name="_xlnm._FilterDatabase" localSheetId="25" hidden="1">Other.Glossary!#REF!</definedName>
    <definedName name="DataEntityAttributeID">#REF!</definedName>
    <definedName name="GlossaryTable" localSheetId="9">TGlossaryTerm[]</definedName>
    <definedName name="GlossaryTable" localSheetId="19">TGlossaryTerm[]</definedName>
    <definedName name="GlossaryTable" localSheetId="23">TGlossaryTerm[]</definedName>
    <definedName name="GlossaryTable">TGlossaryTerm[]</definedName>
    <definedName name="ID_ActiveEvent" localSheetId="9">TActiveEvent[Id (*)]</definedName>
    <definedName name="ID_ActiveEvent" localSheetId="19">TActiveEvent[Id (*)]</definedName>
    <definedName name="ID_ActiveEvent" localSheetId="23">TActiveEvent[Id (*)]</definedName>
    <definedName name="ID_ActiveEvent">TActiveEvent[Id (*)]</definedName>
    <definedName name="ID_ActiveTask" localSheetId="9">TActiveTask[Id (*)]</definedName>
    <definedName name="ID_ActiveTask" localSheetId="19">TActiveTask[Id (*)]</definedName>
    <definedName name="ID_ActiveTask" localSheetId="23">TActiveTask[Id (*)]</definedName>
    <definedName name="ID_ActiveTask">TActiveTask[Id (*)]</definedName>
    <definedName name="ID_Actor" localSheetId="9">TActor[Id (*)]</definedName>
    <definedName name="ID_Actor" localSheetId="19">TActor[Id (*)]</definedName>
    <definedName name="ID_Actor" localSheetId="23">TActor[Id (*)]</definedName>
    <definedName name="ID_Actor">TActor[Id (*)]</definedName>
    <definedName name="ID_Constraint" localSheetId="9">TConstraint[Id (*)]</definedName>
    <definedName name="ID_Constraint" localSheetId="19">TConstraint[Id (*)]</definedName>
    <definedName name="ID_Constraint" localSheetId="23">TConstraint[Id (*)]</definedName>
    <definedName name="ID_Constraint">TConstraint[Id (*)]</definedName>
    <definedName name="ID_DataEntity" localSheetId="23">#REF!</definedName>
    <definedName name="Id_DataEntity">T_DataEntity[Id (*)]</definedName>
    <definedName name="Id_DataEntity_NoDuplicates">OFFSET('.config'!$BI$7,0,0,COUNTA('.config'!$BI$7:$BI$1000))</definedName>
    <definedName name="ID_FR" localSheetId="9">TFR[Id (*)]</definedName>
    <definedName name="ID_FR" localSheetId="19">TFR[Id (*)]</definedName>
    <definedName name="ID_FR" localSheetId="23">TFR[Id (*)]</definedName>
    <definedName name="ID_FR">TFR[Id (*)]</definedName>
    <definedName name="ID_Goal" localSheetId="9">TGoal[Id (*)]</definedName>
    <definedName name="ID_Goal" localSheetId="19">TGoal[Id (*)]</definedName>
    <definedName name="ID_Goal" localSheetId="23">TGoal[Id (*)]</definedName>
    <definedName name="ID_Goal">TGoal[Id (*)]</definedName>
    <definedName name="ID_ObjectDataValue" localSheetId="19">#REF!</definedName>
    <definedName name="ID_ObjectDataValue">#REF!</definedName>
    <definedName name="ID_ObjectDataValue_NoDuplicates">_xlfn.ANCHORARRAY('.config'!$BJ$7)</definedName>
    <definedName name="ID_QR" localSheetId="9">TQR[Id (*)]</definedName>
    <definedName name="ID_QR" localSheetId="19">TQR[Id (*)]</definedName>
    <definedName name="ID_QR" localSheetId="23">TQR[Id (*)]</definedName>
    <definedName name="ID_QR">TQR[Id (*)]</definedName>
    <definedName name="ID_Risk">Other.Risks!$A$19</definedName>
    <definedName name="ID_Stakeholder" localSheetId="9">TStakeholder[Id (*)]</definedName>
    <definedName name="ID_Stakeholder" localSheetId="19">TStakeholder[Id (*)]</definedName>
    <definedName name="ID_Stakeholder" localSheetId="23">TStakeholder[Id (*)]</definedName>
    <definedName name="ID_Stakeholder">TStakeholder[Id (*)]</definedName>
    <definedName name="ID_System" localSheetId="9">#REF!</definedName>
    <definedName name="ID_System" localSheetId="23">#REF!</definedName>
    <definedName name="ID_System">#REF!</definedName>
    <definedName name="ID_TypesAndDataEntities">OFFSET('.config'!$BJ$7,0,0,COUNTA('.config'!$BJ$7:$BJ$1000))</definedName>
    <definedName name="ID_UseCase" localSheetId="19">TUseCase[Id (*)]</definedName>
    <definedName name="ID_UseCase">TUseCase[Id (*)]</definedName>
    <definedName name="ID_UseCase_Complete" localSheetId="23">'R.UseCases.Complete'!$A$9</definedName>
    <definedName name="ID_UserStory" localSheetId="9">TUserStory[Id (*)]</definedName>
    <definedName name="ID_UserStory" localSheetId="19">TUserStory[Id (*)]</definedName>
    <definedName name="ID_UserStory" localSheetId="23">TUserStory[Id (*)]</definedName>
    <definedName name="ID_UserStory">TUserStory[Id (*)]</definedName>
    <definedName name="ID_Vulnerability" localSheetId="9">TVulnerability[Id (*)]</definedName>
    <definedName name="ID_Vulnerability" localSheetId="19">TVulnerability[Id (*)]</definedName>
    <definedName name="ID_Vulnerability" localSheetId="23">TVulnerability[Id (*)]</definedName>
    <definedName name="ID_Vulnerability">TVulnerability[Id (*)]</definedName>
    <definedName name="N_ActiveEventType" localSheetId="9">TActiveEventType[]</definedName>
    <definedName name="N_ActiveEventType" localSheetId="19">TActiveEventType[]</definedName>
    <definedName name="N_ActiveEventType" localSheetId="23">TActiveEventType[]</definedName>
    <definedName name="N_ActiveEventType">TActiveEventType[]</definedName>
    <definedName name="N_ActiveFlowType" localSheetId="9">TActiveFlowType[]</definedName>
    <definedName name="N_ActiveFlowType" localSheetId="19">TActiveFlowType[]</definedName>
    <definedName name="N_ActiveFlowType" localSheetId="23">TActiveFlowType[]</definedName>
    <definedName name="N_ActiveFlowType">TActiveFlowType[]</definedName>
    <definedName name="N_ActiveTaskType" localSheetId="9">TActiveTaskType[]</definedName>
    <definedName name="N_ActiveTaskType" localSheetId="19">TActiveTaskType[]</definedName>
    <definedName name="N_ActiveTaskType" localSheetId="23">TActiveTaskType[]</definedName>
    <definedName name="N_ActiveTaskType">TActiveTaskType[]</definedName>
    <definedName name="N_ActorType" localSheetId="9">TActorType[]</definedName>
    <definedName name="N_ActorType" localSheetId="19">TActorType[]</definedName>
    <definedName name="N_ActorType" localSheetId="23">TActorType[]</definedName>
    <definedName name="N_ActorType">TActorType[]</definedName>
    <definedName name="N_ApplicationDomain" localSheetId="9">TApplicationDomain[ApplicationDomain]</definedName>
    <definedName name="N_ApplicationDomain" localSheetId="19">TApplicationDomain[ApplicationDomain]</definedName>
    <definedName name="N_ApplicationDomain" localSheetId="23">TApplicationDomain[ApplicationDomain]</definedName>
    <definedName name="N_ApplicationDomain">TApplicationDomain[ApplicationDomain]</definedName>
    <definedName name="N_Attribute">T_DataEntity[Attribute]</definedName>
    <definedName name="N_Boolean" localSheetId="9">TBoolean[Boolean]</definedName>
    <definedName name="N_Boolean" localSheetId="19">TBoolean[Boolean]</definedName>
    <definedName name="N_Boolean" localSheetId="23">TBoolean[Boolean]</definedName>
    <definedName name="N_Boolean">TBoolean[Boolean]</definedName>
    <definedName name="N_ConstraintSubType" localSheetId="9">TConstraintSubType[]</definedName>
    <definedName name="N_ConstraintSubType" localSheetId="19">TConstraintSubType[]</definedName>
    <definedName name="N_ConstraintSubType" localSheetId="23">TConstraintSubType[]</definedName>
    <definedName name="N_ConstraintSubType">TConstraintSubType[]</definedName>
    <definedName name="N_ConstraintType" localSheetId="9">TConstraintType[]</definedName>
    <definedName name="N_ConstraintType" localSheetId="19">TConstraintType[]</definedName>
    <definedName name="N_ConstraintType" localSheetId="23">TConstraintType[]</definedName>
    <definedName name="N_ConstraintType">TConstraintType[]</definedName>
    <definedName name="N_DataAttributeType" localSheetId="19">TDataAttributeType[DataAttributeType]</definedName>
    <definedName name="N_DataAttributeType">TDataAttributeType[DataAttributeType]</definedName>
    <definedName name="N_DataEntityCluster" localSheetId="19">TDataEntityCluster[]</definedName>
    <definedName name="N_DataEntityCluster">TDataEntityCluster[]</definedName>
    <definedName name="N_DataEntityClusterType" localSheetId="9">TDataEntityClusterType[]</definedName>
    <definedName name="N_DataEntityClusterType" localSheetId="19">TDataEntityClusterType[]</definedName>
    <definedName name="N_DataEntityClusterType" localSheetId="23">TDataEntityClusterType[]</definedName>
    <definedName name="N_DataEntityClusterType">TDataEntityClusterType[]</definedName>
    <definedName name="N_DataEntityConstraintType" localSheetId="19">Table29[DataEntityConstraintType]</definedName>
    <definedName name="N_DataEntityConstraintType">Table29[DataEntityConstraintType]</definedName>
    <definedName name="N_DataEntitySubType" localSheetId="9">TDataEntitySubType[]</definedName>
    <definedName name="N_DataEntitySubType" localSheetId="19">TDataEntitySubType[]</definedName>
    <definedName name="N_DataEntitySubType" localSheetId="23">TDataEntitySubType[]</definedName>
    <definedName name="N_DataEntitySubType">TDataEntitySubType[]</definedName>
    <definedName name="N_DataEntityType" localSheetId="9">TDataEntityType[]</definedName>
    <definedName name="N_DataEntityType" localSheetId="19">TDataEntityType[]</definedName>
    <definedName name="N_DataEntityType" localSheetId="23">TDataEntityType[]</definedName>
    <definedName name="N_DataEntityType">TDataEntityType[]</definedName>
    <definedName name="N_DataEntityTypes">TDataEntityTypes[Data Entity Types]</definedName>
    <definedName name="N_DataEnumerationType" localSheetId="9">TDataEnumerationType[]</definedName>
    <definedName name="N_DataEnumerationType" localSheetId="19">TDataEnumerationType[]</definedName>
    <definedName name="N_DataEnumerationType" localSheetId="23">TDataEnumerationType[]</definedName>
    <definedName name="N_DataEnumerationType">TDataEnumerationType[]</definedName>
    <definedName name="N_FRType" localSheetId="9">TFRType[]</definedName>
    <definedName name="N_FRType" localSheetId="19">TFRType[]</definedName>
    <definedName name="N_FRType" localSheetId="23">TFRType[]</definedName>
    <definedName name="N_FRType">TFRType[]</definedName>
    <definedName name="N_GlossaryTermType" localSheetId="9">TGlossaryTermType[GlossaryTermType]</definedName>
    <definedName name="N_GlossaryTermType" localSheetId="19">TGlossaryTermType[GlossaryTermType]</definedName>
    <definedName name="N_GlossaryTermType" localSheetId="23">TGlossaryTermType[GlossaryTermType]</definedName>
    <definedName name="N_GlossaryTermType">TGlossaryTermType[GlossaryTermType]</definedName>
    <definedName name="N_GoalSubType" localSheetId="9">TGoalSubType[]</definedName>
    <definedName name="N_GoalSubType" localSheetId="19">TGoalSubType[]</definedName>
    <definedName name="N_GoalSubType" localSheetId="23">TGoalSubType[]</definedName>
    <definedName name="N_GoalSubType">TGoalSubType[]</definedName>
    <definedName name="N_GoalType" localSheetId="9">TGoalType[]</definedName>
    <definedName name="N_GoalType" localSheetId="19">TGoalType[]</definedName>
    <definedName name="N_GoalType" localSheetId="23">TGoalType[]</definedName>
    <definedName name="N_GoalType">TGoalType[]</definedName>
    <definedName name="N_Metric" localSheetId="9">TMetric[]</definedName>
    <definedName name="N_Metric" localSheetId="19">TMetric[]</definedName>
    <definedName name="N_Metric" localSheetId="23">TMetric[]</definedName>
    <definedName name="N_Metric">TMetric[]</definedName>
    <definedName name="N_PriorityType" localSheetId="9">TPriorityType[PriorityType]</definedName>
    <definedName name="N_PriorityType" localSheetId="19">TPriorityType[PriorityType]</definedName>
    <definedName name="N_PriorityType" localSheetId="23">TPriorityType[PriorityType]</definedName>
    <definedName name="N_PriorityType">TPriorityType[PriorityType]</definedName>
    <definedName name="N_ProgressState" localSheetId="9">TProgressState[ProgressState]</definedName>
    <definedName name="N_ProgressState" localSheetId="19">TProgressState[ProgressState]</definedName>
    <definedName name="N_ProgressState" localSheetId="23">TProgressState[ProgressState]</definedName>
    <definedName name="N_ProgressState">TProgressState[ProgressState]</definedName>
    <definedName name="N_ProjectType" localSheetId="9">TProjectType[ProjectType]</definedName>
    <definedName name="N_ProjectType" localSheetId="19">TProjectType[ProjectType]</definedName>
    <definedName name="N_ProjectType" localSheetId="23">TProjectType[ProjectType]</definedName>
    <definedName name="N_ProjectType">TProjectType[ProjectType]</definedName>
    <definedName name="N_QRSubType" localSheetId="9">TQRSubType[QRSubType]</definedName>
    <definedName name="N_QRSubType" localSheetId="19">TQRSubType[QRSubType]</definedName>
    <definedName name="N_QRSubType" localSheetId="23">TQRSubType[QRSubType]</definedName>
    <definedName name="N_QRSubType">TQRSubType[QRSubType]</definedName>
    <definedName name="N_QRType" localSheetId="9">TQRType[]</definedName>
    <definedName name="N_QRType" localSheetId="19">TQRType[]</definedName>
    <definedName name="N_QRType" localSheetId="23">TQRType[]</definedName>
    <definedName name="N_QRType">TQRType[]</definedName>
    <definedName name="N_RelationalOperator" localSheetId="9">TRelationalOperator[RelationalOperator]</definedName>
    <definedName name="N_RelationalOperator" localSheetId="19">TRelationalOperator[RelationalOperator]</definedName>
    <definedName name="N_RelationalOperator" localSheetId="23">TRelationalOperator[RelationalOperator]</definedName>
    <definedName name="N_RelationalOperator">TRelationalOperator[RelationalOperator]</definedName>
    <definedName name="N_RelationType" localSheetId="9">TRelationType[RelationType]</definedName>
    <definedName name="N_RelationType" localSheetId="19">TRelationType[RelationType]</definedName>
    <definedName name="N_RelationType" localSheetId="23">TRelationType[RelationType]</definedName>
    <definedName name="N_RelationType">TRelationType[RelationType]</definedName>
    <definedName name="N_StakeholderSubType" localSheetId="9">TStakeholderSubType[StakeholderSubType]</definedName>
    <definedName name="N_StakeholderSubType" localSheetId="19">TStakeholderSubType[StakeholderSubType]</definedName>
    <definedName name="N_StakeholderSubType" localSheetId="23">TStakeholderSubType[StakeholderSubType]</definedName>
    <definedName name="N_StakeholderSubType">TStakeholderSubType[StakeholderSubType]</definedName>
    <definedName name="N_StakeholderType" localSheetId="9">TStakeholderType[StakeholderType]</definedName>
    <definedName name="N_StakeholderType" localSheetId="19">TStakeholderType[StakeholderType]</definedName>
    <definedName name="N_StakeholderType" localSheetId="23">TStakeholderType[StakeholderType]</definedName>
    <definedName name="N_StakeholderType">TStakeholderType[StakeholderType]</definedName>
    <definedName name="N_StateMachineType" localSheetId="9">TStateMachineType[]</definedName>
    <definedName name="N_StateMachineType" localSheetId="19">TStateMachineType[]</definedName>
    <definedName name="N_StateMachineType" localSheetId="23">TStateMachineType[]</definedName>
    <definedName name="N_StateMachineType">TStateMachineType[]</definedName>
    <definedName name="N_SystemsRelationCategory" localSheetId="19">TSystemsRelationCategory[SystemsRelationCategory]</definedName>
    <definedName name="N_SystemsRelationCategory">TSystemsRelationCategory[SystemsRelationCategory]</definedName>
    <definedName name="N_SystemSubType" localSheetId="9">TSystemSubType[]</definedName>
    <definedName name="N_SystemSubType" localSheetId="19">TSystemSubType[]</definedName>
    <definedName name="N_SystemSubType" localSheetId="23">TSystemSubType[]</definedName>
    <definedName name="N_SystemSubType">TSystemSubType[]</definedName>
    <definedName name="N_SystemType" localSheetId="9">TSystemType[]</definedName>
    <definedName name="N_SystemType" localSheetId="19">TSystemType[]</definedName>
    <definedName name="N_SystemType" localSheetId="23">TSystemType[]</definedName>
    <definedName name="N_SystemType">TSystemType[]</definedName>
    <definedName name="N_TermApplicableTo" localSheetId="9">TTermApplicableTo[TermApplicableTo]</definedName>
    <definedName name="N_TermApplicableTo" localSheetId="19">TTermApplicableTo[TermApplicableTo]</definedName>
    <definedName name="N_TermApplicableTo" localSheetId="23">TTermApplicableTo[TermApplicableTo]</definedName>
    <definedName name="N_TermApplicableTo">TTermApplicableTo[TermApplicableTo]</definedName>
    <definedName name="N_TestType" localSheetId="9">TTestType[]</definedName>
    <definedName name="N_TestType" localSheetId="19">TTestType[]</definedName>
    <definedName name="N_TestType" localSheetId="23">TTestType[]</definedName>
    <definedName name="N_TestType">TTestType[]</definedName>
    <definedName name="N_UCActionType" localSheetId="19">TUCActionType[UCActionType]</definedName>
    <definedName name="N_UCActionType">TUCActionType[UCActionType]</definedName>
    <definedName name="N_UseCaseType" localSheetId="9">TUseCaseType[]</definedName>
    <definedName name="N_UseCaseType" localSheetId="19">TUseCaseType[]</definedName>
    <definedName name="N_UseCaseType" localSheetId="23">TUseCaseType[]</definedName>
    <definedName name="N_UseCaseType">TUseCaseType[]</definedName>
    <definedName name="N_UserStoryType" localSheetId="9">TUserStoryType[]</definedName>
    <definedName name="N_UserStoryType" localSheetId="19">TUserStoryType[]</definedName>
    <definedName name="N_UserStoryType" localSheetId="23">TUserStoryType[]</definedName>
    <definedName name="N_UserStoryType">TUserStoryType[]</definedName>
    <definedName name="N_VulnerabilityAttackVector" localSheetId="9">TVulnerabilityAttackVector[]</definedName>
    <definedName name="N_VulnerabilityAttackVector" localSheetId="19">TVulnerabilityAttackVector[]</definedName>
    <definedName name="N_VulnerabilityAttackVector" localSheetId="23">TVulnerabilityAttackVector[]</definedName>
    <definedName name="N_VulnerabilityAttackVector">TVulnerabilityAttackVector[]</definedName>
    <definedName name="N_VulnerabilitySubType" localSheetId="9">TVulnerabilitySubType[]</definedName>
    <definedName name="N_VulnerabilitySubType" localSheetId="19">TVulnerabilitySubType[]</definedName>
    <definedName name="N_VulnerabilitySubType" localSheetId="23">TVulnerabilitySubType[]</definedName>
    <definedName name="N_VulnerabilitySubType">TVulnerabilitySubType[]</definedName>
    <definedName name="N_VulnerabilityType" localSheetId="9">TVulnerabilityType[]</definedName>
    <definedName name="N_VulnerabilityType" localSheetId="19">TVulnerabilityType[]</definedName>
    <definedName name="N_VulnerabilityType" localSheetId="23">TVulnerabilityType[]</definedName>
    <definedName name="N_VulnerabilityType">TVulnerabilityType[]</definedName>
    <definedName name="Theme_Name" localSheetId="19">Table20[Name (*)]</definedName>
    <definedName name="Theme_Name">Table20[Name (*)]</definedName>
  </definedNames>
  <calcPr calcId="18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25" i="80" l="1"/>
  <c r="D24" i="80"/>
  <c r="D23" i="80"/>
  <c r="D21" i="80"/>
  <c r="D20" i="80"/>
  <c r="D18" i="80"/>
  <c r="D6" i="80"/>
  <c r="A2" i="82"/>
  <c r="A2" i="81" l="1"/>
  <c r="D13" i="80" l="1"/>
  <c r="D14" i="80"/>
  <c r="D15" i="80"/>
  <c r="D16" i="80"/>
  <c r="D8" i="80"/>
  <c r="D9" i="80"/>
  <c r="D10" i="80"/>
  <c r="D11" i="80"/>
  <c r="D12" i="80"/>
  <c r="BI7" i="44" a="1"/>
  <c r="BI7" i="44" s="1"/>
  <c r="BJ7" i="44" s="1" a="1"/>
  <c r="BJ7" i="44" s="1"/>
  <c r="A2" i="80"/>
  <c r="A2" i="79"/>
  <c r="D8" i="77" l="1"/>
  <c r="A2" i="77"/>
  <c r="A3" i="49" l="1"/>
  <c r="A3" i="46" l="1"/>
  <c r="A3" i="45"/>
  <c r="A1" i="44"/>
  <c r="D13" i="42" l="1"/>
  <c r="G13" i="42" s="1"/>
  <c r="D12" i="42"/>
  <c r="H11" i="8"/>
  <c r="H10" i="8"/>
  <c r="H9" i="8"/>
  <c r="H8" i="8"/>
  <c r="D23" i="42"/>
  <c r="D19" i="42"/>
  <c r="G19" i="42"/>
  <c r="G8" i="42"/>
  <c r="A3" i="43"/>
  <c r="A3" i="42"/>
  <c r="A3" i="31"/>
  <c r="A3" i="26"/>
  <c r="A3" i="24"/>
  <c r="A3" i="35"/>
  <c r="A3" i="18"/>
  <c r="A3" i="11"/>
  <c r="A3" i="19"/>
  <c r="A3" i="17"/>
  <c r="A3" i="14"/>
  <c r="A3" i="8"/>
  <c r="A3" i="27"/>
  <c r="A3" i="10"/>
  <c r="A3" i="20"/>
  <c r="A3" i="21"/>
  <c r="A3" i="36"/>
  <c r="A3" i="32"/>
  <c r="A3" i="30"/>
  <c r="A3" i="7"/>
  <c r="A3" i="3"/>
  <c r="A3" i="28"/>
  <c r="F12" i="42" l="1"/>
  <c r="E12" i="42"/>
  <c r="E13" i="42"/>
  <c r="G12" i="42"/>
  <c r="F13" i="4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<sst xmlns="http://schemas.openxmlformats.org/spreadsheetml/2006/main" count="1705" uniqueCount="906">
  <si>
    <t>Id</t>
  </si>
  <si>
    <t>Name</t>
  </si>
  <si>
    <t>Description</t>
  </si>
  <si>
    <t>Glossary Types</t>
  </si>
  <si>
    <t>Source (Stakeholder)</t>
  </si>
  <si>
    <t>Type</t>
  </si>
  <si>
    <t>System</t>
  </si>
  <si>
    <t>...</t>
  </si>
  <si>
    <t>Sequential</t>
  </si>
  <si>
    <t>Priority</t>
  </si>
  <si>
    <t>Stakeholder</t>
  </si>
  <si>
    <t>Entity1</t>
  </si>
  <si>
    <t>Actors</t>
  </si>
  <si>
    <t>Back to Index</t>
  </si>
  <si>
    <t>TRUE</t>
  </si>
  <si>
    <t>Metric</t>
  </si>
  <si>
    <t>Value</t>
  </si>
  <si>
    <t>other</t>
  </si>
  <si>
    <t>SubType</t>
  </si>
  <si>
    <t>Acronym</t>
  </si>
  <si>
    <t>PartOf</t>
  </si>
  <si>
    <t>Id (*)</t>
  </si>
  <si>
    <t>Type (*)</t>
  </si>
  <si>
    <t>Type  (*)</t>
  </si>
  <si>
    <t>Principal</t>
  </si>
  <si>
    <t xml:space="preserve">Attributes </t>
  </si>
  <si>
    <t>ForeignKeys</t>
  </si>
  <si>
    <t>Attribute etc</t>
  </si>
  <si>
    <t>Detail</t>
  </si>
  <si>
    <t>Participates</t>
  </si>
  <si>
    <t>Conditions</t>
  </si>
  <si>
    <t>Includes</t>
  </si>
  <si>
    <t>Boolean</t>
  </si>
  <si>
    <t>Yes</t>
  </si>
  <si>
    <t>No</t>
  </si>
  <si>
    <t>Synonym</t>
  </si>
  <si>
    <t>System Types</t>
  </si>
  <si>
    <t>Systems</t>
  </si>
  <si>
    <t>Source (*)</t>
  </si>
  <si>
    <t>Target (*)</t>
  </si>
  <si>
    <t>Hypernym (IsA)</t>
  </si>
  <si>
    <t>Project Definition</t>
  </si>
  <si>
    <t>Training</t>
  </si>
  <si>
    <t>Other</t>
  </si>
  <si>
    <t>ApplicationDomain</t>
  </si>
  <si>
    <t>Education</t>
  </si>
  <si>
    <t>Research</t>
  </si>
  <si>
    <t>Health</t>
  </si>
  <si>
    <t>PublicSector</t>
  </si>
  <si>
    <t>Telecoms</t>
  </si>
  <si>
    <t>Application Domain (*)</t>
  </si>
  <si>
    <t>Planned Schedule</t>
  </si>
  <si>
    <t>Start</t>
  </si>
  <si>
    <t>End</t>
  </si>
  <si>
    <t>Actual Schedule</t>
  </si>
  <si>
    <t>Organizations</t>
  </si>
  <si>
    <t>Customer</t>
  </si>
  <si>
    <t>Supplier</t>
  </si>
  <si>
    <t>Partners</t>
  </si>
  <si>
    <t>Glossary Definition</t>
  </si>
  <si>
    <t>Stakeholders Definition</t>
  </si>
  <si>
    <t>Actors Definition</t>
  </si>
  <si>
    <t>Use Cases Definition</t>
  </si>
  <si>
    <t>Use Cases Scenarios Definition (for System S1)</t>
  </si>
  <si>
    <t>Functional Requirements Definition</t>
  </si>
  <si>
    <t>Quality Requirements Definition</t>
  </si>
  <si>
    <t>Constraints Definition</t>
  </si>
  <si>
    <t>Summary</t>
  </si>
  <si>
    <t>Extended Description</t>
  </si>
  <si>
    <t>Plan</t>
  </si>
  <si>
    <t>Concluded</t>
  </si>
  <si>
    <t>ProgressState</t>
  </si>
  <si>
    <t>Requirement Relations Definition</t>
  </si>
  <si>
    <t>System Relations Definition (for Context Definition)</t>
  </si>
  <si>
    <t xml:space="preserve">Other </t>
  </si>
  <si>
    <t>Actor</t>
  </si>
  <si>
    <t>Adjective</t>
  </si>
  <si>
    <t>Adverb</t>
  </si>
  <si>
    <t>Noun</t>
  </si>
  <si>
    <t>Verb</t>
  </si>
  <si>
    <t>Business</t>
  </si>
  <si>
    <t>Import</t>
  </si>
  <si>
    <t>Import-Export</t>
  </si>
  <si>
    <t>Requires</t>
  </si>
  <si>
    <t>Supports</t>
  </si>
  <si>
    <t>Obstructs</t>
  </si>
  <si>
    <t>Conflicts</t>
  </si>
  <si>
    <t>Identical</t>
  </si>
  <si>
    <t>User</t>
  </si>
  <si>
    <t>ExternalSystem</t>
  </si>
  <si>
    <t>Timer</t>
  </si>
  <si>
    <t>Functional</t>
  </si>
  <si>
    <t>Behavioral</t>
  </si>
  <si>
    <t>Data</t>
  </si>
  <si>
    <t>Sub-Type</t>
  </si>
  <si>
    <t>Organizational</t>
  </si>
  <si>
    <t>Physical</t>
  </si>
  <si>
    <t>Project</t>
  </si>
  <si>
    <t>Technological</t>
  </si>
  <si>
    <t>Legal</t>
  </si>
  <si>
    <t>Cultural</t>
  </si>
  <si>
    <t>Security</t>
  </si>
  <si>
    <t>Usability</t>
  </si>
  <si>
    <t>Reliability</t>
  </si>
  <si>
    <t>Performance</t>
  </si>
  <si>
    <t>Maintenance</t>
  </si>
  <si>
    <t>ID</t>
  </si>
  <si>
    <t>Checks (Contraints &amp; Rules)</t>
  </si>
  <si>
    <t>Extends</t>
  </si>
  <si>
    <t>Actions</t>
  </si>
  <si>
    <t>States, etc</t>
  </si>
  <si>
    <t>Use Case</t>
  </si>
  <si>
    <t>Reference(s)</t>
  </si>
  <si>
    <t>Simple</t>
  </si>
  <si>
    <t>Complex</t>
  </si>
  <si>
    <t>Copyright</t>
  </si>
  <si>
    <t>References</t>
  </si>
  <si>
    <t>Licence</t>
  </si>
  <si>
    <t>Scenario</t>
  </si>
  <si>
    <t>Steps</t>
  </si>
  <si>
    <t xml:space="preserve">System </t>
  </si>
  <si>
    <t>State machine</t>
  </si>
  <si>
    <t>Precondition</t>
  </si>
  <si>
    <t>Postcondition</t>
  </si>
  <si>
    <t>Extension Points (EP)</t>
  </si>
  <si>
    <t>Extends EPs</t>
  </si>
  <si>
    <t>Extends UCs</t>
  </si>
  <si>
    <t>Name (*)</t>
  </si>
  <si>
    <t xml:space="preserve">PartOf </t>
  </si>
  <si>
    <t>EntityCreate</t>
  </si>
  <si>
    <t>EntityRead</t>
  </si>
  <si>
    <t>EntityUpdate</t>
  </si>
  <si>
    <t>EntityDelete</t>
  </si>
  <si>
    <t>EntityReport</t>
  </si>
  <si>
    <t>EntityDashboard</t>
  </si>
  <si>
    <t>EntityOther</t>
  </si>
  <si>
    <t>EntitiesManage</t>
  </si>
  <si>
    <t>EntitiesBrowse</t>
  </si>
  <si>
    <t>EntitiesSearch</t>
  </si>
  <si>
    <t>EntitiesReport</t>
  </si>
  <si>
    <t>EntitiesDashboard</t>
  </si>
  <si>
    <t>EntitiesInteropImport</t>
  </si>
  <si>
    <t>EntitiesInteropExport</t>
  </si>
  <si>
    <t>EntitiesInteropSync</t>
  </si>
  <si>
    <t>EntitiesInteropSendMessage</t>
  </si>
  <si>
    <t>EntitiesInteropServiceInvocation</t>
  </si>
  <si>
    <t>EntitiesMapShow</t>
  </si>
  <si>
    <t>EntitiesMapInteract</t>
  </si>
  <si>
    <t>EnergyAndUtilities</t>
  </si>
  <si>
    <t>FinanceAndBanks</t>
  </si>
  <si>
    <t>NotPlan</t>
  </si>
  <si>
    <t>OnDesign</t>
  </si>
  <si>
    <t>OnDevelop</t>
  </si>
  <si>
    <t>OnTest</t>
  </si>
  <si>
    <t>OnDeploy</t>
  </si>
  <si>
    <t>ApplicableTo</t>
  </si>
  <si>
    <t xml:space="preserve">SubType </t>
  </si>
  <si>
    <t>Master (*)</t>
  </si>
  <si>
    <t>Initiates (*)</t>
  </si>
  <si>
    <t>Feedback</t>
  </si>
  <si>
    <t>scn_ID</t>
  </si>
  <si>
    <t>scn_Name</t>
  </si>
  <si>
    <t>actionID</t>
  </si>
  <si>
    <t>nextStep</t>
  </si>
  <si>
    <t>stepDescription</t>
  </si>
  <si>
    <t>step_ID</t>
  </si>
  <si>
    <t>step_Subject</t>
  </si>
  <si>
    <t>StateMachine_Name</t>
  </si>
  <si>
    <t>State_OnEntry</t>
  </si>
  <si>
    <t>State_OnExit</t>
  </si>
  <si>
    <t>Rel_Description</t>
  </si>
  <si>
    <t>attr_description</t>
  </si>
  <si>
    <t>attr_size</t>
  </si>
  <si>
    <t>attr_def</t>
  </si>
  <si>
    <t>BE_Description</t>
  </si>
  <si>
    <t>Security_Integrity</t>
  </si>
  <si>
    <t>Usability_Accessibility</t>
  </si>
  <si>
    <t>Usability_Learnability</t>
  </si>
  <si>
    <t>Integer</t>
  </si>
  <si>
    <t>Decimal</t>
  </si>
  <si>
    <t>Currency</t>
  </si>
  <si>
    <t>Date</t>
  </si>
  <si>
    <t>Time</t>
  </si>
  <si>
    <t>Datetime</t>
  </si>
  <si>
    <t>Text</t>
  </si>
  <si>
    <t>Regex</t>
  </si>
  <si>
    <t>Image</t>
  </si>
  <si>
    <t>Time_Hour</t>
  </si>
  <si>
    <t>Time_Min</t>
  </si>
  <si>
    <t>Time_Sec</t>
  </si>
  <si>
    <t>Time_mSec</t>
  </si>
  <si>
    <t>Development</t>
  </si>
  <si>
    <t>Design</t>
  </si>
  <si>
    <t>Deployment</t>
  </si>
  <si>
    <t>Person</t>
  </si>
  <si>
    <t>Organization</t>
  </si>
  <si>
    <t>Main</t>
  </si>
  <si>
    <t>Alternative</t>
  </si>
  <si>
    <t>Exception</t>
  </si>
  <si>
    <t>Actor_PrepareData</t>
  </si>
  <si>
    <t>Actor_CallSystem</t>
  </si>
  <si>
    <t>System_ReturnResult</t>
  </si>
  <si>
    <t>None</t>
  </si>
  <si>
    <t>Business Definition</t>
  </si>
  <si>
    <t>business_ID</t>
  </si>
  <si>
    <t>business_name</t>
  </si>
  <si>
    <t>business_description</t>
  </si>
  <si>
    <t>Business Events Definition</t>
  </si>
  <si>
    <t>isInitial</t>
  </si>
  <si>
    <t>isFinal</t>
  </si>
  <si>
    <t>Participant</t>
  </si>
  <si>
    <t>Participant (external)</t>
  </si>
  <si>
    <t>Manual</t>
  </si>
  <si>
    <t>Business Flows Definition</t>
  </si>
  <si>
    <t>Condition</t>
  </si>
  <si>
    <t>Active Elements</t>
  </si>
  <si>
    <t>Sequence</t>
  </si>
  <si>
    <t>User Stories Definition</t>
  </si>
  <si>
    <t>Actor (*)</t>
  </si>
  <si>
    <t>Goal (*)</t>
  </si>
  <si>
    <t>Reason</t>
  </si>
  <si>
    <t>UserStory</t>
  </si>
  <si>
    <t>Service</t>
  </si>
  <si>
    <t>Send</t>
  </si>
  <si>
    <t>Receive</t>
  </si>
  <si>
    <t>Script</t>
  </si>
  <si>
    <t>BusinessRule</t>
  </si>
  <si>
    <t>Terminate</t>
  </si>
  <si>
    <t>Cancel</t>
  </si>
  <si>
    <t>Error</t>
  </si>
  <si>
    <t>Signal</t>
  </si>
  <si>
    <t>Conditional</t>
  </si>
  <si>
    <t>SequenceConditional</t>
  </si>
  <si>
    <t>Parallel</t>
  </si>
  <si>
    <t>Relates</t>
  </si>
  <si>
    <t>Task</t>
  </si>
  <si>
    <t>Frequency_Hz</t>
  </si>
  <si>
    <t>Frequency_KHz</t>
  </si>
  <si>
    <t>Frequency_MHz</t>
  </si>
  <si>
    <t>Data Entities</t>
  </si>
  <si>
    <t>ev_Description</t>
  </si>
  <si>
    <t>ev_ID</t>
  </si>
  <si>
    <t>bp_ID</t>
  </si>
  <si>
    <t>bp_Name</t>
  </si>
  <si>
    <t>bp_ext_stk</t>
  </si>
  <si>
    <t>bp_Description</t>
  </si>
  <si>
    <t>e_ID</t>
  </si>
  <si>
    <t>e_Description</t>
  </si>
  <si>
    <t>Application</t>
  </si>
  <si>
    <t>stk_ID</t>
  </si>
  <si>
    <t>OrganizationalUnit</t>
  </si>
  <si>
    <t>Business_Other</t>
  </si>
  <si>
    <t>System_External</t>
  </si>
  <si>
    <t>System_Other</t>
  </si>
  <si>
    <t>t_name</t>
  </si>
  <si>
    <t>t_ID</t>
  </si>
  <si>
    <t>t_acronym</t>
  </si>
  <si>
    <t>t_synonym</t>
  </si>
  <si>
    <t>t_hypernym</t>
  </si>
  <si>
    <t>t_description</t>
  </si>
  <si>
    <t>be_ID</t>
  </si>
  <si>
    <t>stakeholder</t>
  </si>
  <si>
    <t>uc_ID</t>
  </si>
  <si>
    <t>Feel free to use it! We would appreciate your feedback, 
alberto.silva@tecnico.ulisboa.pt</t>
  </si>
  <si>
    <r>
      <t xml:space="preserve">1. Ferreira, D., Silva, A. R., 2012. </t>
    </r>
    <r>
      <rPr>
        <b/>
        <sz val="11"/>
        <color theme="1"/>
        <rFont val="Calibri"/>
        <family val="2"/>
        <scheme val="minor"/>
      </rPr>
      <t>RSLingo: An Information Extraction Approach toward Formal Requirements Specifications</t>
    </r>
    <r>
      <rPr>
        <sz val="11"/>
        <color theme="1"/>
        <rFont val="Calibri"/>
        <family val="2"/>
        <scheme val="minor"/>
      </rPr>
      <t xml:space="preserve">. In: Proc. of the 2nd Int. Workshop on Model-Driven Requirements Engineering (MoDRE 2012), IEEE CS. http://isg.inesc-id.pt/alb/static/papers/2012/C114-df-RE-modre-2012.pdf 
2. Ferreira, D., Silva, A. R., 2013. </t>
    </r>
    <r>
      <rPr>
        <b/>
        <sz val="11"/>
        <color theme="1"/>
        <rFont val="Calibri"/>
        <family val="2"/>
        <scheme val="minor"/>
      </rPr>
      <t>RSL-IL: An Interlingua for Formally Documenting Requirements</t>
    </r>
    <r>
      <rPr>
        <sz val="11"/>
        <color theme="1"/>
        <rFont val="Calibri"/>
        <family val="2"/>
        <scheme val="minor"/>
      </rPr>
      <t xml:space="preserve">. In: Proc. of the of Third IEEE International Workshop on Model-Driven Requirements Engineering (MoDRE 2013), IEEE CS. http://isg.inesc-id.pt/alb/static/papers/2013/c118-df-modre2013.pdf
3. Verelst, J., et al., 2013. </t>
    </r>
    <r>
      <rPr>
        <b/>
        <sz val="11"/>
        <color theme="1"/>
        <rFont val="Calibri"/>
        <family val="2"/>
        <scheme val="minor"/>
      </rPr>
      <t>Identifying Combinatorial Effects in Requirements Engineering</t>
    </r>
    <r>
      <rPr>
        <sz val="11"/>
        <color theme="1"/>
        <rFont val="Calibri"/>
        <family val="2"/>
        <scheme val="minor"/>
      </rPr>
      <t xml:space="preserve">, Proceedings of Third Enterprise Engineering Working Conference (EEWC 2013), Advances in Enterprise Engineering, LNBIP, Springer. http://isg.inesc-id.pt/alb/static/papers/2013/c117-jv-EEWC-2013.pdf
4. Silva, A. R., et al., 2014. </t>
    </r>
    <r>
      <rPr>
        <b/>
        <sz val="11"/>
        <color theme="1"/>
        <rFont val="Calibri"/>
        <family val="2"/>
        <scheme val="minor"/>
      </rPr>
      <t>Towards a System Requirements Specification Template that Minimizes Combinatorial Effects</t>
    </r>
    <r>
      <rPr>
        <sz val="11"/>
        <color theme="1"/>
        <rFont val="Calibri"/>
        <family val="2"/>
        <scheme val="minor"/>
      </rPr>
      <t xml:space="preserve">, Proceedings of QUATIC’2014 Conference, IEEE CS. http://isg.inesc-id.pt/alb/static/papers/2014/c123-as-Quatic-SRS-Template-2014.pdf
5. Alberto Rodrigues da Silva, João Saraiva, Rui Silva, Carlos Martins, </t>
    </r>
    <r>
      <rPr>
        <b/>
        <sz val="11"/>
        <color theme="1"/>
        <rFont val="Calibri"/>
        <family val="2"/>
        <scheme val="minor"/>
      </rPr>
      <t>XIS – UML Profile for eXtreme Modeling Interactive Systems</t>
    </r>
    <r>
      <rPr>
        <sz val="11"/>
        <color theme="1"/>
        <rFont val="Calibri"/>
        <family val="2"/>
        <scheme val="minor"/>
      </rPr>
      <t xml:space="preserve">, in Proceedings of the 4th International Workshop on Model-based Methodologies for Pervasive and Embedded Software (MOMPES 2007), March 2007 (Braga, Portugal), IEEE Computer Society. http://isg.inesc-id.pt/alb/static/papers/2007/i68-as-XISUMLProfile-MOMPES2007.pdf
6. André Ribeiro, Alberto Rodrigues da Silva, Evaluation of </t>
    </r>
    <r>
      <rPr>
        <b/>
        <sz val="11"/>
        <color theme="1"/>
        <rFont val="Calibri"/>
        <family val="2"/>
        <scheme val="minor"/>
      </rPr>
      <t>XIS-Mobile, a Domain Specific Language for Mobile Application Development</t>
    </r>
    <r>
      <rPr>
        <sz val="11"/>
        <color theme="1"/>
        <rFont val="Calibri"/>
        <family val="2"/>
        <scheme val="minor"/>
      </rPr>
      <t xml:space="preserve">, in Journal of Software Engineering and Applications, 7(11), October 2014, Scientific Research Publishing. http://www.scirp.org/journal/PaperInformation.aspx?paperID=50620 
7. Dušan Savić, Siniša Vlajić, Saša Lazarević, Vojislav Stanojević, Ilija Antović, Miloš Milić, Alberto Rodrigues da Silva, </t>
    </r>
    <r>
      <rPr>
        <b/>
        <sz val="11"/>
        <color theme="1"/>
        <rFont val="Calibri"/>
        <family val="2"/>
        <scheme val="minor"/>
      </rPr>
      <t>Use Case Specification Using the SILABREQ Domain Specific Language</t>
    </r>
    <r>
      <rPr>
        <sz val="11"/>
        <color theme="1"/>
        <rFont val="Calibri"/>
        <family val="2"/>
        <scheme val="minor"/>
      </rPr>
      <t>, in Computing and Informatics Journal, 34(4):877–910, 2015. http://isg.inesc-id.pt/alb/static/papers/2015/r14-ds-CAI-Journal.pdf
8.  Alberto Rodrigues da Silva, “</t>
    </r>
    <r>
      <rPr>
        <b/>
        <sz val="11"/>
        <color theme="1"/>
        <rFont val="Calibri"/>
        <family val="2"/>
        <scheme val="minor"/>
      </rPr>
      <t>Linguistic Patterns and Styles for Requirements Specification: The RSL/Business-Level Language</t>
    </r>
    <r>
      <rPr>
        <sz val="11"/>
        <color theme="1"/>
        <rFont val="Calibri"/>
        <family val="2"/>
        <scheme val="minor"/>
      </rPr>
      <t>”, Proceedings of EuroPLOP’2017, Hillside Europe, 2017.  https://www.researchgate.net/publication/317167533_Linguistic_Patterns_and_Styles_for_Requirements_Specification_The_RSLBusiness-Level_Language</t>
    </r>
  </si>
  <si>
    <t>StateID (*)</t>
  </si>
  <si>
    <t>StateType</t>
  </si>
  <si>
    <t>onEntry</t>
  </si>
  <si>
    <t>OnExit</t>
  </si>
  <si>
    <t>Use Case &amp; Action &amp; NextState</t>
  </si>
  <si>
    <t>Action</t>
  </si>
  <si>
    <t>NextState</t>
  </si>
  <si>
    <t>sm_E1</t>
  </si>
  <si>
    <t>state_ID</t>
  </si>
  <si>
    <t>sm_ID_Next</t>
  </si>
  <si>
    <t>Goals, Functional Reqs, Quality Reqs, Constraint, UseCases, UserStories</t>
  </si>
  <si>
    <t>trgt_req_ID</t>
  </si>
  <si>
    <t>trgt_req_Name</t>
  </si>
  <si>
    <t>scr_req_Name</t>
  </si>
  <si>
    <t>bf_ID</t>
  </si>
  <si>
    <t>bae_1, bae_2</t>
  </si>
  <si>
    <t>GoalType</t>
  </si>
  <si>
    <t>ct_ID</t>
  </si>
  <si>
    <t>ct_parent</t>
  </si>
  <si>
    <t>Cultural_Language</t>
  </si>
  <si>
    <t>Cultural_Other</t>
  </si>
  <si>
    <t>Legal_National</t>
  </si>
  <si>
    <t>Legal_International</t>
  </si>
  <si>
    <t>Legal_Other</t>
  </si>
  <si>
    <t>Organizational_Politics</t>
  </si>
  <si>
    <t>Organizational_Management</t>
  </si>
  <si>
    <t>Organizational_Other</t>
  </si>
  <si>
    <t>Project_Cost</t>
  </si>
  <si>
    <t>Project_Time</t>
  </si>
  <si>
    <t>Project_Scope</t>
  </si>
  <si>
    <t>Project_Quality</t>
  </si>
  <si>
    <t>Technological_PlatformHardware</t>
  </si>
  <si>
    <t>Technological_PlatformSoftware</t>
  </si>
  <si>
    <t>Technological_DevelopmentTool</t>
  </si>
  <si>
    <t>Physical_Concrete</t>
  </si>
  <si>
    <t>Physical_Abstract</t>
  </si>
  <si>
    <t>PrimaryKey</t>
  </si>
  <si>
    <t>Attributes</t>
  </si>
  <si>
    <t>Size</t>
  </si>
  <si>
    <t>Multiplicity</t>
  </si>
  <si>
    <t>Default Value</t>
  </si>
  <si>
    <t>Accept Null?</t>
  </si>
  <si>
    <t>Is Unique?</t>
  </si>
  <si>
    <t>EntityRef</t>
  </si>
  <si>
    <t>AttributeRef</t>
  </si>
  <si>
    <t>Checks (other contraints)</t>
  </si>
  <si>
    <t>CheckExpression</t>
  </si>
  <si>
    <t>DataEntity View</t>
  </si>
  <si>
    <t>Double</t>
  </si>
  <si>
    <t>Bit</t>
  </si>
  <si>
    <t>String</t>
  </si>
  <si>
    <t>URL</t>
  </si>
  <si>
    <t>XML</t>
  </si>
  <si>
    <t>Binary</t>
  </si>
  <si>
    <t>uc_Precond</t>
  </si>
  <si>
    <t>uc_Postcond</t>
  </si>
  <si>
    <t>uc_Includes</t>
  </si>
  <si>
    <t>uc_Extends_Eps</t>
  </si>
  <si>
    <t>uc_Eps</t>
  </si>
  <si>
    <t>uc_Description</t>
  </si>
  <si>
    <t>SCENARIOS</t>
  </si>
  <si>
    <t>STEPS</t>
  </si>
  <si>
    <t>If Action</t>
  </si>
  <si>
    <t>Step Id</t>
  </si>
  <si>
    <t>Actor Subject</t>
  </si>
  <si>
    <t>StepAction Type</t>
  </si>
  <si>
    <t>StepAction SubType</t>
  </si>
  <si>
    <t>Next Step</t>
  </si>
  <si>
    <t>Main Scenario</t>
  </si>
  <si>
    <t>MainScenario</t>
  </si>
  <si>
    <t>Actor that execute the step</t>
  </si>
  <si>
    <t>Description of the step.</t>
  </si>
  <si>
    <t>…</t>
  </si>
  <si>
    <t>Action1</t>
  </si>
  <si>
    <t>2a</t>
  </si>
  <si>
    <t>Action2</t>
  </si>
  <si>
    <t>2b</t>
  </si>
  <si>
    <t>Alt1 Scenario</t>
  </si>
  <si>
    <t>AlternativeScenario</t>
  </si>
  <si>
    <t>2a1</t>
  </si>
  <si>
    <t>uc_UseCase1</t>
  </si>
  <si>
    <t>StepOperationType</t>
  </si>
  <si>
    <t xml:space="preserve"> System_Executes</t>
  </si>
  <si>
    <t>StepOperationSubType</t>
  </si>
  <si>
    <t>SubmitData</t>
  </si>
  <si>
    <t>ShowData</t>
  </si>
  <si>
    <t>ScenarioType</t>
  </si>
  <si>
    <t xml:space="preserve">as a </t>
  </si>
  <si>
    <t>DataEntity (*)</t>
  </si>
  <si>
    <t>Initial</t>
  </si>
  <si>
    <t>uc_Actions</t>
  </si>
  <si>
    <t>uc_Action</t>
  </si>
  <si>
    <t>RelationalOperator</t>
  </si>
  <si>
    <t>=</t>
  </si>
  <si>
    <t>&gt;=</t>
  </si>
  <si>
    <t>&gt;</t>
  </si>
  <si>
    <t>&lt;</t>
  </si>
  <si>
    <t>&lt;=</t>
  </si>
  <si>
    <t>&lt;&gt;</t>
  </si>
  <si>
    <t>Click</t>
  </si>
  <si>
    <t>DataEntity State Machines (Behavioral) Definition</t>
  </si>
  <si>
    <t>Systems Definition (for Context Definition)</t>
  </si>
  <si>
    <t>src_belement_ID</t>
  </si>
  <si>
    <t>src_belement_Name</t>
  </si>
  <si>
    <t>trgt_belement_ID</t>
  </si>
  <si>
    <t>trgt_belement_Name</t>
  </si>
  <si>
    <t>Security_Authentication</t>
  </si>
  <si>
    <t>Security_Authorization</t>
  </si>
  <si>
    <t>Security_Confidentiality</t>
  </si>
  <si>
    <t>Performance_SystemResponseTime</t>
  </si>
  <si>
    <t>Performance_NetworkResponseTime</t>
  </si>
  <si>
    <t>Performance_Other</t>
  </si>
  <si>
    <t>Usability_Operability</t>
  </si>
  <si>
    <t>Usability_UserErrorProtection</t>
  </si>
  <si>
    <t>Usability_UserInterfaceAesthetics</t>
  </si>
  <si>
    <t>Cultural_Currency</t>
  </si>
  <si>
    <t>Time_Day</t>
  </si>
  <si>
    <t>Capacity_KByte</t>
  </si>
  <si>
    <t>Capacity_MByte</t>
  </si>
  <si>
    <t>Capacity_GByte</t>
  </si>
  <si>
    <t>Capacity_TByte</t>
  </si>
  <si>
    <t>Capacity_PByte</t>
  </si>
  <si>
    <t>Capacity_EByte</t>
  </si>
  <si>
    <t>Error_PerTask</t>
  </si>
  <si>
    <t>Range_LikertScale</t>
  </si>
  <si>
    <t>Range_Binary</t>
  </si>
  <si>
    <t>Range_Other</t>
  </si>
  <si>
    <t>Authors</t>
  </si>
  <si>
    <t>Expression</t>
  </si>
  <si>
    <t>fr_login</t>
  </si>
  <si>
    <t>Login credentials</t>
  </si>
  <si>
    <t>After a user specify their username and password, they shall login into the system</t>
  </si>
  <si>
    <t>Register users</t>
  </si>
  <si>
    <t xml:space="preserve">System shall allow user-administrator to register users 
</t>
  </si>
  <si>
    <t>fr_admin_create_users</t>
  </si>
  <si>
    <t>Threats Definition</t>
  </si>
  <si>
    <t>Denial of service</t>
  </si>
  <si>
    <t>IsA</t>
  </si>
  <si>
    <t>Accept the risk</t>
  </si>
  <si>
    <t>Mitigate the risk</t>
  </si>
  <si>
    <t>DDOS attack</t>
  </si>
  <si>
    <t>Attacker uses DoS attacks to reduce availability of the system</t>
  </si>
  <si>
    <t>Security_Recovery</t>
  </si>
  <si>
    <t>Consequence</t>
  </si>
  <si>
    <t>Likelihood</t>
  </si>
  <si>
    <t>Vulnerabilities Definition</t>
  </si>
  <si>
    <t>Attack</t>
  </si>
  <si>
    <t>Vulnerability score</t>
  </si>
  <si>
    <t>phpMyAdmin Reflected Cross-site Scripting Vulnerability</t>
  </si>
  <si>
    <t>Reflected cross-site scripting (XSS) vulnerabilities are present on the tbl_gis_visualization.php page in phpMyAdmin 3.5.x, before version 3.5.8. These allow remote attackers to inject arbitrary JavaScript or HTML via the (1) visualizationSettings[width] or (2) visualizationSettings[height] parameters.</t>
  </si>
  <si>
    <t>A successful exploit requires an attacker to perform reconnaissance of the system running the vulnerable phpMyAdmin software to determine a valid database name and obtain a valid session token. The attacker constructs a URL to the web server running the vulnerable phpMyAdmin software that contains this database name and token. One of the two injectable parameters is added to the URL with its value set to the malicious code that the attacker wishes a victim to run. The attacker distributes this URL and entices a victim to click on it, e.g. by sending the URL in emails or by adding it to a legitimate web site. If a victim clicks the URL, the malicious code will execute in the victim's web browser. The malicious code is only able to access information associated with the web site running the vulnerable phpMyAdmin software due to Same Origin Policy (SOP) restrictions in web browsers. phpMyAdmin, by default, sets the HttpOnly flag on its cookies, preventing JavaScript from accessing the contents web browser cookies which limits the overall impact of this attack.</t>
  </si>
  <si>
    <t>MySQL Stored SQL Injection</t>
  </si>
  <si>
    <t>A vulnerability in the MySQL Server database could allow a remote, authenticated user to inject SQL code that MySQL replication functionality would run with high privileges. A successful attack could allow any data in a remote MySQL database to be read or modified.</t>
  </si>
  <si>
    <t>An attacker requires an account on the target MySQL database with the privilege to modify user-supplied identifiers, such as table names. The account must be on a database which is being replicated to one or more other MySQL databases. An attack consists of logging in using the account and modifying an identifier to a new value that contains a quote character and a fragment of malicious SQL. This SQL will later be executed as a highly privileged user on the remote system(s). The malicious SQL is injected into SQL statements that are part of the replication functionality, preventing the attacker from executing arbitrary SQL statements.</t>
  </si>
  <si>
    <t>Authentication Enforcer</t>
  </si>
  <si>
    <t>Authorization Enforcer</t>
  </si>
  <si>
    <t>Audit Interceptor</t>
  </si>
  <si>
    <t>Container Managed Security</t>
  </si>
  <si>
    <t>Is Positive</t>
  </si>
  <si>
    <t>the description</t>
  </si>
  <si>
    <t>Threat Avaliation [0-10]</t>
  </si>
  <si>
    <t>Impact</t>
  </si>
  <si>
    <t>Threat Identification</t>
  </si>
  <si>
    <t>vu_PHPMyAdmin</t>
  </si>
  <si>
    <t>Treatments</t>
  </si>
  <si>
    <t>Vulnerabilities</t>
  </si>
  <si>
    <t>Measure</t>
  </si>
  <si>
    <t>Name (^)</t>
  </si>
  <si>
    <t>Type  (^)</t>
  </si>
  <si>
    <t>Description  (^)</t>
  </si>
  <si>
    <t xml:space="preserve">Asset ID (^) </t>
  </si>
  <si>
    <t>th_ddos</t>
  </si>
  <si>
    <t>tr_1_th_ddos</t>
  </si>
  <si>
    <t>Treat1 - th_ddos</t>
  </si>
  <si>
    <t>TBD</t>
  </si>
  <si>
    <t>tr_2_th_ddos</t>
  </si>
  <si>
    <t>Treat2 - th_ddos</t>
  </si>
  <si>
    <t xml:space="preserve">Asset ID (*^) </t>
  </si>
  <si>
    <t>AssetId (*^)</t>
  </si>
  <si>
    <t>This pattern shows how a browser client should authenticate with the server. I creates a base Action class to handle  authentication of HTTP requests.
[Tier: Web]
[HTTPS;SSL/TLS;Ipsec;JAAS;JSSE;JCE;JGSS]
[Related Patterns: Context Object[CJP];Intercepting Filter[CJP]]</t>
  </si>
  <si>
    <t>g_Auth_Enforcer</t>
  </si>
  <si>
    <t>g_autho_enforcer</t>
  </si>
  <si>
    <t>This pattern creates a base Action class to handle authorization of HTTP requests.
[Tier: Web]
[JACC;JAAS;JSSE;JCE;JGSS;]
[Related Patterns: Context Object[CJP];Intercepting Filter[CJP]]</t>
  </si>
  <si>
    <t>g_audit_interceptor</t>
  </si>
  <si>
    <t>The Secure Logger pattern provides instrumentation of the logging aspects in the front, and the Audit Interceptor pattern enables the administrator and manages the logging and audit in the back-end.
[Tier:Business]
[Java API for Logging]
[Related Patterns: Secure Logger;Intercepting Filter[CJP]]</t>
  </si>
  <si>
    <t xml:space="preserve">g_container_sec
</t>
  </si>
  <si>
    <t>This pattern describes how to declare security-related information for EJBs in a deployment descriptor.
[Tier: Business]
[EJB]
[Related Patterns: Secure Pipe ]</t>
  </si>
  <si>
    <t>vu_MySql_Stored</t>
  </si>
  <si>
    <t>SSLv3 POODLE Vulnerability</t>
  </si>
  <si>
    <t>vu_SSLv3_POODLE</t>
  </si>
  <si>
    <t>The SSL protocol 3.0, as used in OpenSSL through 1.0.1i and other products, uses nondeterministic CBC padding, which makes it easier for man in the middle attackers to obtain plaintext data via a padding-oracle attack, aka the "POODLE" issue.</t>
  </si>
  <si>
    <t xml:space="preserve">A typical attack scenario is that a victim has visited a web server and her web browser now contains a cookie that an attacker wishes to steal. For a successful attack, the attacker must be able to modify network traffic between the victim and this web server, and both victim and system must be willing to use SSL 3.0 for encryption.
A typical attack starts by the attacker tricking the victim into visiting a web site containing malicious code that then runs on the victim's web browser. Same Origin Policy (SOP) restrictions in web browsers prevent this code from directly accessing the cookie the attacker is trying to steal, but HTTP requests that the code sends to the web server automatically have the cookie added, and this behavior is used in the attack.
The malicious code sends an HTTP request that guesses the value of the first byte of the cookie, and positions this byte in a specific location. The attacker modifies the encrypted HTTP request such that this byte is used as a padding value. If the server accepts the modified request, the value guessed was correct; if not, the code guesses a different value in a new request. This process is repeated until the entire cookie is disclosed.
</t>
  </si>
  <si>
    <t>Apache Tomcat XML Parser Vulnerability</t>
  </si>
  <si>
    <t>vu_Apache_Tomcat_XML _Parser</t>
  </si>
  <si>
    <t>Apache Tomcat 4.1.0 through 4.1.39, 5.5.0 through 5.5.27, and 6.0.0 through 6.0.18 permits web applications to replace an XML parser used for other web applications, which allows local users to read or modify the (1) web.xml, (2) context.xml, or (3) tld files of arbitrary web applications via a crafted application that is loaded earlier than the target application.</t>
  </si>
  <si>
    <t>This Tomcat vulnerability allows a web-apps to reference a XML parser instead of using the default Apache XML parser. The attacker must remove all existing web-apps including those in server/webapps, then install a web-app with an XML parser is stored in WEB-INF/lib. This will cause Tomcat to use the new XML parser to process all web.xml, context.xml and tld files of other webapps. If that non-standard XML parser is replaced with a malicious one, the content of the victim web app XML can be disclosed, the resulting JSP could be corrupted (if it compiled at all) or possibly even weaponized for further attacks.
There are 2 different ways this attack may manifest. First a local privileged user could simply replace the non-Apache XML parser with a malicious variant. The second is that an attacker may use social engineering and user interaction to inject the malicious XML parser into the system. We will score for the former.</t>
  </si>
  <si>
    <t>Id2</t>
  </si>
  <si>
    <t>Name3</t>
  </si>
  <si>
    <t>Name2</t>
  </si>
  <si>
    <t>Interaction</t>
  </si>
  <si>
    <t xml:space="preserve"> Type (*)</t>
  </si>
  <si>
    <t xml:space="preserve">Interaction </t>
  </si>
  <si>
    <t>Category (*)</t>
  </si>
  <si>
    <t>DependsOn</t>
  </si>
  <si>
    <t>e_ID1</t>
  </si>
  <si>
    <t>e_Name1</t>
  </si>
  <si>
    <t>e_ID2</t>
  </si>
  <si>
    <t>e_Name2</t>
  </si>
  <si>
    <t>att_ID1</t>
  </si>
  <si>
    <t>att_ID2</t>
  </si>
  <si>
    <t>att_ID3</t>
  </si>
  <si>
    <t>entity_ref1</t>
  </si>
  <si>
    <t>entity_ref2</t>
  </si>
  <si>
    <t>check_ID1</t>
  </si>
  <si>
    <t>check_ID2</t>
  </si>
  <si>
    <t>attr_name1</t>
  </si>
  <si>
    <t>attr_name2</t>
  </si>
  <si>
    <t>attr_name3</t>
  </si>
  <si>
    <t>attr_ref1</t>
  </si>
  <si>
    <t>attr_ref2</t>
  </si>
  <si>
    <t>check_expr1</t>
  </si>
  <si>
    <t>check_expr2</t>
  </si>
  <si>
    <t>DataEntityClusters Definition</t>
  </si>
  <si>
    <t>ec_ID</t>
  </si>
  <si>
    <t>ec_Name</t>
  </si>
  <si>
    <t xml:space="preserve"> </t>
  </si>
  <si>
    <t>Version: 5.0
Date: 2017-2019
Author: Alberto Rodrigues da Silva
https://github.com/ITLingo/</t>
  </si>
  <si>
    <t>System Requirements Specification based on RSL Excel Template (ITLingo-RSL-Excel-Template)</t>
  </si>
  <si>
    <t>Copyright 2017 - 2019 Alberto Rodrigues da Silva - INESC-ID, Instituto Superior Técnico, Universidade de Lisboa. All rights reserved. 
This material is available for academic, research and business purposes, however, You should keep the authors and copyright notice.
Any use of this software constitutes full acceptance of all terms of the software's license.</t>
  </si>
  <si>
    <r>
      <t xml:space="preserve">This repository publishes the “ITLingo's RSL Excel Template” that is a System Requirements Specification (SRS) template based on the multi-view architecture and inspired on the design of former languages such as RSL-IL [1,2], XIS* [5,6] and SilabREQ [7], and that is aware of the problems and practical recommendations discussed in [4,5].
This template includes the following files:
</t>
    </r>
    <r>
      <rPr>
        <b/>
        <sz val="11"/>
        <color theme="1"/>
        <rFont val="Calibri"/>
        <family val="2"/>
        <scheme val="minor"/>
      </rPr>
      <t>ITLingo-RSL-Excel-Template-vX.Y.xlsx</t>
    </r>
    <r>
      <rPr>
        <sz val="11"/>
        <color theme="1"/>
        <rFont val="Calibri"/>
        <family val="2"/>
        <scheme val="minor"/>
      </rPr>
      <t xml:space="preserve">: the RSLingo RSL Excel template that can be customized or directly used in a project basis (please use its most recent version)
</t>
    </r>
    <r>
      <rPr>
        <b/>
        <sz val="11"/>
        <color theme="1"/>
        <rFont val="Calibri"/>
        <family val="2"/>
        <scheme val="minor"/>
      </rPr>
      <t>ITLingo-RSL-BillingSystem-vX.Y.xlsx</t>
    </r>
    <r>
      <rPr>
        <sz val="11"/>
        <color theme="1"/>
        <rFont val="Calibri"/>
        <family val="2"/>
        <scheme val="minor"/>
      </rPr>
      <t>: an Excel file with a simple (and incomplete) application example of this RSL Excel template; Use its last version as a starting point for your learning and use purpose.</t>
    </r>
  </si>
  <si>
    <t>Organization_Owner</t>
  </si>
  <si>
    <t>Organization_Customer</t>
  </si>
  <si>
    <t>Organization_Sponsor</t>
  </si>
  <si>
    <t>Organization_Partner</t>
  </si>
  <si>
    <t>Organization_Government</t>
  </si>
  <si>
    <t>Organization_RegulatorAgent</t>
  </si>
  <si>
    <t>OrganizationalUnit_IT</t>
  </si>
  <si>
    <t>OrganizationalUnit_Operations</t>
  </si>
  <si>
    <t>OrganizationalUnit_Support</t>
  </si>
  <si>
    <t>OrganizationalUnit_Other</t>
  </si>
  <si>
    <t>Person_User</t>
  </si>
  <si>
    <t>Person_Manager</t>
  </si>
  <si>
    <t>Person_Manager_ProjectManager</t>
  </si>
  <si>
    <t>Person_Manager_TeamManager</t>
  </si>
  <si>
    <t>Person_Manager_FunctionalManager</t>
  </si>
  <si>
    <t>Person_Technical</t>
  </si>
  <si>
    <t>Person_Technical_BusinessAnalyst</t>
  </si>
  <si>
    <t>Person_Technical_RequirementsEngineer</t>
  </si>
  <si>
    <t>Person_Technical_Trainer</t>
  </si>
  <si>
    <t>Person_Technical_SoftwareArchitect</t>
  </si>
  <si>
    <t>Person_Technical_SoftwareDeveloper</t>
  </si>
  <si>
    <t>Person_Technical_SoftwareDesigner</t>
  </si>
  <si>
    <t>Person_Technical_SoftwareTester</t>
  </si>
  <si>
    <t>System_Internal</t>
  </si>
  <si>
    <t>SoftwareSystem</t>
  </si>
  <si>
    <t>HardwareSystem</t>
  </si>
  <si>
    <t>Business_PublicSector</t>
  </si>
  <si>
    <t>Business_Education</t>
  </si>
  <si>
    <t>Business_Telecoms</t>
  </si>
  <si>
    <t>Business_EnergyAndUtilities</t>
  </si>
  <si>
    <t>Business_FinanceAndBanks</t>
  </si>
  <si>
    <t>Application_Web</t>
  </si>
  <si>
    <t>Application_Mobile</t>
  </si>
  <si>
    <t>Application_Desktop</t>
  </si>
  <si>
    <t>Application_Sensor</t>
  </si>
  <si>
    <t>Application_Actuator</t>
  </si>
  <si>
    <t>Application_Other</t>
  </si>
  <si>
    <t>SoftwareSystem_OS</t>
  </si>
  <si>
    <t>SoftwareSystem_VM</t>
  </si>
  <si>
    <t>SoftwareSystem_DBMS</t>
  </si>
  <si>
    <t>SoftwareSystem_WebServer</t>
  </si>
  <si>
    <t>SoftwareSystem_EmailServer</t>
  </si>
  <si>
    <t>SoftwareSystem_EmailClient</t>
  </si>
  <si>
    <t>SoftwareSystem_OfficeTool</t>
  </si>
  <si>
    <t>SoftwareSystem_OtherServer</t>
  </si>
  <si>
    <t>SoftwareSystem_OtherClient</t>
  </si>
  <si>
    <t>HardwareSystem_Server</t>
  </si>
  <si>
    <t>HardwareSystem_Desktop</t>
  </si>
  <si>
    <t>HardwareSystem_Laptop</t>
  </si>
  <si>
    <t>HardwareSystem_Smartphone</t>
  </si>
  <si>
    <t>HardwareSystem_Smartwatch</t>
  </si>
  <si>
    <t>HardwareSystem_Sensor</t>
  </si>
  <si>
    <t>HardwareSystem_Storage</t>
  </si>
  <si>
    <t>HardwareSystem_Printer</t>
  </si>
  <si>
    <t>HardwareSystem_Network</t>
  </si>
  <si>
    <t>Type (*)2</t>
  </si>
  <si>
    <t>Related Systems</t>
  </si>
  <si>
    <t>Is Final</t>
  </si>
  <si>
    <t>Vendor</t>
  </si>
  <si>
    <t>Version</t>
  </si>
  <si>
    <t>* Configuration of  Terms as defined and recognized in the Requirements Engineering domain. 
These terms are used in many views to give user the oportunity to select the intended option.</t>
  </si>
  <si>
    <t>General Configuration (2)</t>
  </si>
  <si>
    <t>ProjectType</t>
  </si>
  <si>
    <t>General Types</t>
  </si>
  <si>
    <t>TermApplicableTo</t>
  </si>
  <si>
    <t>GlossaryTermType</t>
  </si>
  <si>
    <t>DataEntity</t>
  </si>
  <si>
    <t>StakeholderType</t>
  </si>
  <si>
    <t>StakeholderSubType</t>
  </si>
  <si>
    <t>PriorityType</t>
  </si>
  <si>
    <t>VeryHigh</t>
  </si>
  <si>
    <t>High</t>
  </si>
  <si>
    <t>Medium</t>
  </si>
  <si>
    <t>Low</t>
  </si>
  <si>
    <t>VeryLow</t>
  </si>
  <si>
    <t>RelationType</t>
  </si>
  <si>
    <t>SystemType</t>
  </si>
  <si>
    <t>SystemSubType</t>
  </si>
  <si>
    <t>Business_HealthBusiness_IT</t>
  </si>
  <si>
    <t xml:space="preserve">SoftwareSystem_WebClient </t>
  </si>
  <si>
    <t xml:space="preserve">SoftwareSystem_Other </t>
  </si>
  <si>
    <t xml:space="preserve">HardwareSystem_Actuator </t>
  </si>
  <si>
    <t xml:space="preserve">HardwareSystem_Other  </t>
  </si>
  <si>
    <t>Is InScope</t>
  </si>
  <si>
    <t>sys_1</t>
  </si>
  <si>
    <t>sys_2</t>
  </si>
  <si>
    <t>a_ID1</t>
  </si>
  <si>
    <t>a_ID2</t>
  </si>
  <si>
    <t>Business Tasks/Processes Definition</t>
  </si>
  <si>
    <t>ActiveEventType</t>
  </si>
  <si>
    <t xml:space="preserve">Undefined </t>
  </si>
  <si>
    <t>ActiveTaskType</t>
  </si>
  <si>
    <t>ActiveFlowType</t>
  </si>
  <si>
    <t>DataEntityType</t>
  </si>
  <si>
    <t>Parameter</t>
  </si>
  <si>
    <t>Reference</t>
  </si>
  <si>
    <t>Master</t>
  </si>
  <si>
    <t>Document</t>
  </si>
  <si>
    <t>Transaction</t>
  </si>
  <si>
    <t>DataEntitySubType</t>
  </si>
  <si>
    <t>DataEnumerationType</t>
  </si>
  <si>
    <t>DataAttributeType</t>
  </si>
  <si>
    <t>GeoPoint</t>
  </si>
  <si>
    <t>File</t>
  </si>
  <si>
    <t>DataEntityClusterType</t>
  </si>
  <si>
    <t>Object Types</t>
  </si>
  <si>
    <t>ActorType</t>
  </si>
  <si>
    <t>Subject Types</t>
  </si>
  <si>
    <t>FRType</t>
  </si>
  <si>
    <t>Compatibility</t>
  </si>
  <si>
    <t>Maintainability</t>
  </si>
  <si>
    <t>Portability</t>
  </si>
  <si>
    <t>Privacy</t>
  </si>
  <si>
    <t>Performance_MemoryCapacity</t>
  </si>
  <si>
    <t>Performance_DiskCapacity</t>
  </si>
  <si>
    <t>Compatibility_CoExistence</t>
  </si>
  <si>
    <t>Compatibility_Interoperability</t>
  </si>
  <si>
    <t>Compatibility_Other</t>
  </si>
  <si>
    <t>Usability_AappropriatenessRecognizability</t>
  </si>
  <si>
    <t>Usability_Other</t>
  </si>
  <si>
    <t>Reliability_Maturity</t>
  </si>
  <si>
    <t>Reliability_Availability</t>
  </si>
  <si>
    <t>Reliability_FaultTolerance</t>
  </si>
  <si>
    <t>Reliability_Recoverability</t>
  </si>
  <si>
    <t>Reliability_Other</t>
  </si>
  <si>
    <t>Security_NonRepudiation</t>
  </si>
  <si>
    <t>Security_Accountability</t>
  </si>
  <si>
    <t>Security_PhysicalProtection</t>
  </si>
  <si>
    <t>Security_Other</t>
  </si>
  <si>
    <t>Maintainability_Modularity</t>
  </si>
  <si>
    <t>Maintainability_Reusability</t>
  </si>
  <si>
    <t>Maintainability_Analyzability</t>
  </si>
  <si>
    <t>Maintainability_Modifiability</t>
  </si>
  <si>
    <t>Maintainability_Testability</t>
  </si>
  <si>
    <t>Maintainability_Other</t>
  </si>
  <si>
    <t>Portability_Adaptability</t>
  </si>
  <si>
    <t>Portability_Installability</t>
  </si>
  <si>
    <t>Portability_Replaceability</t>
  </si>
  <si>
    <t>Portability_Other</t>
  </si>
  <si>
    <t>Privacy_Collection</t>
  </si>
  <si>
    <t>Privacy_Disclosure</t>
  </si>
  <si>
    <t>Privacy_Retention</t>
  </si>
  <si>
    <t>Privacy_Usage</t>
  </si>
  <si>
    <t>Privacy_Informative</t>
  </si>
  <si>
    <t>Privacy_Other</t>
  </si>
  <si>
    <t>ConstraintType</t>
  </si>
  <si>
    <t>ConstraintSubType</t>
  </si>
  <si>
    <t>Project_Risk</t>
  </si>
  <si>
    <t>Project_Other</t>
  </si>
  <si>
    <t>UserStoryType</t>
  </si>
  <si>
    <t>Epic</t>
  </si>
  <si>
    <t>UseCaseType</t>
  </si>
  <si>
    <t>EntitiesOther</t>
  </si>
  <si>
    <t>QRType</t>
  </si>
  <si>
    <t>QRSubType</t>
  </si>
  <si>
    <t>GoalSubType</t>
  </si>
  <si>
    <t>Requirement Types</t>
  </si>
  <si>
    <t>System_Execute</t>
  </si>
  <si>
    <t>SubmitAction</t>
  </si>
  <si>
    <t>CancelAction</t>
  </si>
  <si>
    <t>TerminateAction</t>
  </si>
  <si>
    <t>OpenBrowser</t>
  </si>
  <si>
    <t>CloseBrowser</t>
  </si>
  <si>
    <t>Reload</t>
  </si>
  <si>
    <t>GetData</t>
  </si>
  <si>
    <t>PostData</t>
  </si>
  <si>
    <t>Select</t>
  </si>
  <si>
    <t>Over</t>
  </si>
  <si>
    <t>Submit</t>
  </si>
  <si>
    <t>Check</t>
  </si>
  <si>
    <t>CheckType</t>
  </si>
  <si>
    <t>TextOnScreen</t>
  </si>
  <si>
    <t>TextOnElement</t>
  </si>
  <si>
    <t>ElementOnScreen</t>
  </si>
  <si>
    <t>ResponseTime</t>
  </si>
  <si>
    <t>VariableValue</t>
  </si>
  <si>
    <t>Screen</t>
  </si>
  <si>
    <t>Action Types</t>
  </si>
  <si>
    <t>StateMachineType</t>
  </si>
  <si>
    <t>IT</t>
  </si>
  <si>
    <t>VulnerabilitySubType</t>
  </si>
  <si>
    <t>IT_DoS</t>
  </si>
  <si>
    <t>IT_CodeExecution</t>
  </si>
  <si>
    <t>IT_Overflow</t>
  </si>
  <si>
    <t>IT_MemoryCorruption</t>
  </si>
  <si>
    <t>IT_SqlInjection</t>
  </si>
  <si>
    <t>IT_XSS</t>
  </si>
  <si>
    <t>IT_DirectoryTraversal</t>
  </si>
  <si>
    <t>IT_HttpResponseSplitting</t>
  </si>
  <si>
    <t>IT_BypassSomething</t>
  </si>
  <si>
    <t>IT_GainInformation</t>
  </si>
  <si>
    <t>IT_GainPrivileges</t>
  </si>
  <si>
    <t>IT_CSRF</t>
  </si>
  <si>
    <t>IT_FileInclusion</t>
  </si>
  <si>
    <t>VulnerabilityAttackVector</t>
  </si>
  <si>
    <t>IT_Network</t>
  </si>
  <si>
    <t>IT_AdjacentNetwork</t>
  </si>
  <si>
    <t>IT_Local</t>
  </si>
  <si>
    <t>IT_Physical</t>
  </si>
  <si>
    <t>IT_Other</t>
  </si>
  <si>
    <t>RiskType</t>
  </si>
  <si>
    <t>RiskSubType</t>
  </si>
  <si>
    <t>Business_Strategic</t>
  </si>
  <si>
    <t>Business_Compliance</t>
  </si>
  <si>
    <t>Business_Operational</t>
  </si>
  <si>
    <t>Business_Financial</t>
  </si>
  <si>
    <t>Project_Schedule</t>
  </si>
  <si>
    <t>Project_Budget</t>
  </si>
  <si>
    <t>Project_Resource</t>
  </si>
  <si>
    <t>IT_Spoofing</t>
  </si>
  <si>
    <t>IT_Tampering</t>
  </si>
  <si>
    <t>IT_Repudiation</t>
  </si>
  <si>
    <t>IT_InformationDisclosure</t>
  </si>
  <si>
    <t>IT_DenialOfService</t>
  </si>
  <si>
    <t>IT_ElevationOfPrivilege</t>
  </si>
  <si>
    <t>RiskTreatmentType</t>
  </si>
  <si>
    <t>Avoid</t>
  </si>
  <si>
    <t>Transfer</t>
  </si>
  <si>
    <t>Mitigate</t>
  </si>
  <si>
    <t>Accept</t>
  </si>
  <si>
    <t>RiskStatus</t>
  </si>
  <si>
    <t>Identified</t>
  </si>
  <si>
    <t>Assessed</t>
  </si>
  <si>
    <t>Planned</t>
  </si>
  <si>
    <t>OnProcess</t>
  </si>
  <si>
    <t>Closed</t>
  </si>
  <si>
    <t>NotOccurred</t>
  </si>
  <si>
    <t>Rejected</t>
  </si>
  <si>
    <t>TestType</t>
  </si>
  <si>
    <t>Valid</t>
  </si>
  <si>
    <t>Invalid</t>
  </si>
  <si>
    <t>VulnerabilityType</t>
  </si>
  <si>
    <t>Test Types</t>
  </si>
  <si>
    <t>Risk &amp; Vulneraability Types</t>
  </si>
  <si>
    <t>Goals Definition</t>
  </si>
  <si>
    <t>Is Abstract</t>
  </si>
  <si>
    <t>Is Problem</t>
  </si>
  <si>
    <t>DataEntities Definition - Further Details</t>
  </si>
  <si>
    <t>Use Cases Definition - Further Details</t>
  </si>
  <si>
    <t>DataEntity Cluster</t>
  </si>
  <si>
    <t>UCActionType</t>
  </si>
  <si>
    <t>Create</t>
  </si>
  <si>
    <t>Read</t>
  </si>
  <si>
    <t xml:space="preserve">Update </t>
  </si>
  <si>
    <t xml:space="preserve">Delete </t>
  </si>
  <si>
    <t xml:space="preserve">Search </t>
  </si>
  <si>
    <t xml:space="preserve">Filter </t>
  </si>
  <si>
    <t xml:space="preserve">Print </t>
  </si>
  <si>
    <t>Confirm</t>
  </si>
  <si>
    <t>Close</t>
  </si>
  <si>
    <t>ZoomIn</t>
  </si>
  <si>
    <t>ZoomOut</t>
  </si>
  <si>
    <t xml:space="preserve">CustomerAction </t>
  </si>
  <si>
    <t>Manage</t>
  </si>
  <si>
    <t>Attack Vector</t>
  </si>
  <si>
    <t>Active Element Relations Definition</t>
  </si>
  <si>
    <t>Tasks, Events</t>
  </si>
  <si>
    <t>Relation</t>
  </si>
  <si>
    <t>SystemsRelationCategory</t>
  </si>
  <si>
    <t xml:space="preserve">Export  </t>
  </si>
  <si>
    <t xml:space="preserve">Export </t>
  </si>
  <si>
    <t xml:space="preserve">Sync </t>
  </si>
  <si>
    <t xml:space="preserve">Interact </t>
  </si>
  <si>
    <t>ID_DataEntity</t>
  </si>
  <si>
    <t>Copyright Notice</t>
  </si>
  <si>
    <t>RSLingo-RSL-Excel-Template is released under the EUPL 1.2 licence.
For further details please consult the LICENCE file, available at https://eupl.eu/</t>
  </si>
  <si>
    <t>stk_user</t>
  </si>
  <si>
    <t>Given That</t>
  </si>
  <si>
    <t>When</t>
  </si>
  <si>
    <t>Then</t>
  </si>
  <si>
    <t>Acceptance Criteria Definition</t>
  </si>
  <si>
    <t>-</t>
  </si>
  <si>
    <t>Agile Themes Definition</t>
  </si>
  <si>
    <t>Requirement Type</t>
  </si>
  <si>
    <t>Nº aggregated stories</t>
  </si>
  <si>
    <t>QRs</t>
  </si>
  <si>
    <t>Op</t>
  </si>
  <si>
    <t>partOf</t>
  </si>
  <si>
    <t>Acceptance Criteria</t>
  </si>
  <si>
    <t>Scenario Type</t>
  </si>
  <si>
    <t>Constraints</t>
  </si>
  <si>
    <t>NotNull</t>
  </si>
  <si>
    <t>Operation Type</t>
  </si>
  <si>
    <t>Data Entity Id</t>
  </si>
  <si>
    <t>STK_SPMS</t>
  </si>
  <si>
    <t>Data Entity ID</t>
  </si>
  <si>
    <t>UserStoryOperationType</t>
  </si>
  <si>
    <t>Update</t>
  </si>
  <si>
    <t>Synchronize</t>
  </si>
  <si>
    <t>Delete</t>
  </si>
  <si>
    <t>Theme</t>
  </si>
  <si>
    <t>I want/Eu quero</t>
  </si>
  <si>
    <t>so that/para que</t>
  </si>
  <si>
    <t>User Story Id</t>
  </si>
  <si>
    <t>User Story</t>
  </si>
  <si>
    <t>ForeignKey</t>
  </si>
  <si>
    <t>DataEntityConstraintType</t>
  </si>
  <si>
    <t>Unique</t>
  </si>
  <si>
    <t>ep_1</t>
  </si>
  <si>
    <t>us_1</t>
  </si>
  <si>
    <t>us_2</t>
  </si>
  <si>
    <t>ac_1</t>
  </si>
  <si>
    <t>Success</t>
  </si>
  <si>
    <t>Acceptance Criteria Name</t>
  </si>
  <si>
    <t>Data Entity</t>
  </si>
  <si>
    <t>Tables Reference Values</t>
  </si>
  <si>
    <t>Online Boutique Requirements Specification</t>
  </si>
  <si>
    <t>th_1</t>
  </si>
  <si>
    <t>Purchase Cart</t>
  </si>
  <si>
    <t>Cart</t>
  </si>
  <si>
    <t>Concerning the manipulation of the cart</t>
  </si>
  <si>
    <t>a_Customer</t>
  </si>
  <si>
    <t>To purchase items from my cart</t>
  </si>
  <si>
    <t>Add Item to Cart</t>
  </si>
  <si>
    <t>To add a item to my cart</t>
  </si>
  <si>
    <t>To purchase all items from my cart</t>
  </si>
  <si>
    <t>email</t>
  </si>
  <si>
    <t>[0-9]{4}</t>
  </si>
  <si>
    <t>cvv</t>
  </si>
  <si>
    <t>[0-9]{3}</t>
  </si>
  <si>
    <t>[a-zA-Z0-9-_.]{2,9}@[a-z]{2,5}\.[a-z]{2,3}</t>
  </si>
  <si>
    <t>isA</t>
  </si>
  <si>
    <t>Attribute</t>
  </si>
  <si>
    <t>isReadOnly</t>
  </si>
  <si>
    <t>isEncrypted</t>
  </si>
  <si>
    <t>Foreign Key Data Entity</t>
  </si>
  <si>
    <t>Regex Rule</t>
  </si>
  <si>
    <t>To Generate</t>
  </si>
  <si>
    <t>IsValid?</t>
  </si>
  <si>
    <t>street</t>
  </si>
  <si>
    <t>zip</t>
  </si>
  <si>
    <t>city</t>
  </si>
  <si>
    <t>state</t>
  </si>
  <si>
    <t>country</t>
  </si>
  <si>
    <t>creditCard</t>
  </si>
  <si>
    <t>month</t>
  </si>
  <si>
    <t>year</t>
  </si>
  <si>
    <t>E-mail address of the purchaser for contact purposes</t>
  </si>
  <si>
    <t>Street of the shipping address</t>
  </si>
  <si>
    <t>Zip Code of the shipping address</t>
  </si>
  <si>
    <t>City of the shipping address</t>
  </si>
  <si>
    <t>Country of the shipping address</t>
  </si>
  <si>
    <t>State of the shipping address when applicable</t>
  </si>
  <si>
    <t>Credit Card Number to be processed</t>
  </si>
  <si>
    <t>Expiration month of the credit card</t>
  </si>
  <si>
    <t>Expiration year of the credit card</t>
  </si>
  <si>
    <t>CVV of the credit cardt</t>
  </si>
  <si>
    <t>Types and Data Entities</t>
  </si>
  <si>
    <t>test@test.com</t>
  </si>
  <si>
    <t>5454-3232-1234-9878</t>
  </si>
  <si>
    <t>January</t>
  </si>
  <si>
    <t>Data Entity Name</t>
  </si>
  <si>
    <t>e_PaymentDetails</t>
  </si>
  <si>
    <t>Payment Details</t>
  </si>
  <si>
    <t>Entity agreggating all the necessary information to process the payment</t>
  </si>
  <si>
    <t>e_PurchaseCart</t>
  </si>
  <si>
    <t>name</t>
  </si>
  <si>
    <t>Unique name of a sellable item</t>
  </si>
  <si>
    <t>Sunglasses</t>
  </si>
  <si>
    <t>e_Customer</t>
  </si>
  <si>
    <t>e_Product</t>
  </si>
  <si>
    <t>Product</t>
  </si>
  <si>
    <t>customer</t>
  </si>
  <si>
    <t>total</t>
  </si>
  <si>
    <t>count</t>
  </si>
  <si>
    <t>price</t>
  </si>
  <si>
    <t>e_PurchaseCartItem</t>
  </si>
  <si>
    <t>product</t>
  </si>
  <si>
    <t>quantity</t>
  </si>
  <si>
    <t>d_Customer1</t>
  </si>
  <si>
    <t>d_PurchaseCartItem</t>
  </si>
  <si>
    <t>Entity Cluster</t>
  </si>
  <si>
    <t>Category</t>
  </si>
  <si>
    <t>Data Entity Clusters Values</t>
  </si>
  <si>
    <t>Main (*)</t>
  </si>
  <si>
    <t>Uses</t>
  </si>
  <si>
    <t>Children</t>
  </si>
  <si>
    <t>Data Entity value</t>
  </si>
  <si>
    <t>Entity representing a customer in the system</t>
  </si>
  <si>
    <t>Entity holding products selected by a customer for purchase</t>
  </si>
  <si>
    <t>Structured entity representing information related to a specific product</t>
  </si>
  <si>
    <t>Data Entity Types</t>
  </si>
  <si>
    <t>Purchase Cart Item</t>
  </si>
  <si>
    <t>Entity representing a selected product in the purchase cart</t>
  </si>
  <si>
    <t>Data Entity Definiton</t>
  </si>
  <si>
    <t>Data Entity Attributes Definition</t>
  </si>
  <si>
    <t>id</t>
  </si>
  <si>
    <t>Internal identifier of the customer</t>
  </si>
  <si>
    <t>[0-9]{8}</t>
  </si>
  <si>
    <t>yes</t>
  </si>
  <si>
    <t>Part Of</t>
  </si>
  <si>
    <t>e_Customer
e_Payment
e_Product</t>
  </si>
  <si>
    <t>Data Entities Values</t>
  </si>
  <si>
    <t>cart</t>
  </si>
  <si>
    <t>Identifier of the purchase cart</t>
  </si>
  <si>
    <t>Cost of the product</t>
  </si>
  <si>
    <t>Name of the product</t>
  </si>
  <si>
    <t>Identifier of the customer</t>
  </si>
  <si>
    <t>d_PaymentDetails</t>
  </si>
  <si>
    <t>d_PurchaseCart</t>
  </si>
  <si>
    <t xml:space="preserve">Number of products added to the cart </t>
  </si>
  <si>
    <t>Value of all the products added to the cart at a given time</t>
  </si>
  <si>
    <t>d_ProductSunglasses</t>
  </si>
  <si>
    <t>19.99</t>
  </si>
  <si>
    <t>Internal identifier of the cart</t>
  </si>
  <si>
    <t>p_cart_1</t>
  </si>
  <si>
    <t>dec_PurchaseCart</t>
  </si>
  <si>
    <t>d_PaymentDetails
d_Customer1
d_ProductSunglasses</t>
  </si>
  <si>
    <t>1. openApp
2. clickOnElement Item1
3. clickOnButton submit</t>
  </si>
  <si>
    <t>1. checkOnPage purchaseConfirmation
2. closeApp</t>
  </si>
  <si>
    <t>1. write generated email on email
2. write "Avenida 5 de outubro" on street
3. write "1234" on zip
4. write d_Customer1.city on city
5. write d_Customer1.state on state
6. write d_Customer1.country on country
7. write d_PaymentDetails.creditCard on creditCard
8. write cvv on cvv
9. clickOnButton submit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</si>
</sst>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b/>
      <sz val="11"/>
      <color theme="1"/>
      <name val="Calibri"/>
      <family val="2"/>
      <scheme val="minor"/>
    </font>
    <font>
      <b/>
      <sz val="12"/>
      <color theme="1"/>
      <name val="Calibri"/>
      <family val="2"/>
      <scheme val="minor"/>
    </font>
    <font>
      <b/>
      <sz val="18"/>
      <color theme="1"/>
      <name val="Calibri"/>
      <family val="2"/>
      <scheme val="minor"/>
    </font>
    <font>
      <u/>
      <sz val="11"/>
      <color theme="10"/>
      <name val="Calibri"/>
      <family val="2"/>
      <scheme val="minor"/>
    </font>
    <font>
      <b/>
      <sz val="18"/>
      <name val="Calibri"/>
      <family val="2"/>
      <scheme val="minor"/>
    </font>
    <font>
      <sz val="18"/>
      <name val="Calibri"/>
      <family val="2"/>
      <scheme val="minor"/>
    </font>
    <font>
      <sz val="10"/>
      <color theme="1"/>
      <name val="Calibri"/>
      <family val="2"/>
      <scheme val="minor"/>
    </font>
    <font>
      <b/>
      <u/>
      <sz val="11"/>
      <color theme="1"/>
      <name val="Calibri"/>
      <family val="2"/>
      <scheme val="minor"/>
    </font>
    <font>
      <sz val="10"/>
      <name val="Calibri"/>
      <family val="2"/>
      <scheme val="minor"/>
    </font>
    <font>
      <sz val="11"/>
      <color theme="1"/>
      <name val="Calibri"/>
      <family val="2"/>
      <scheme val="minor"/>
    </font>
    <font>
      <sz val="14"/>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b/>
      <sz val="11"/>
      <name val="Calibri"/>
      <family val="2"/>
      <scheme val="minor"/>
    </font>
    <font>
      <sz val="10"/>
      <color rgb="FF111111"/>
      <name val="Calibri"/>
      <family val="2"/>
      <scheme val="minor"/>
    </font>
    <font>
      <b/>
      <sz val="12"/>
      <color theme="0"/>
      <name val="Calibri"/>
      <family val="2"/>
      <scheme val="minor"/>
    </font>
    <font>
      <sz val="11"/>
      <name val="Calibri"/>
      <family val="2"/>
      <scheme val="minor"/>
    </font>
    <font>
      <sz val="11"/>
      <color rgb="FF000000"/>
      <name val="Calibri"/>
      <family val="2"/>
      <scheme val="minor"/>
    </font>
    <font>
      <sz val="18"/>
      <color theme="1"/>
      <name val="Calibri"/>
      <family val="2"/>
      <scheme val="minor"/>
    </font>
    <font>
      <sz val="10"/>
      <color rgb="FF000000"/>
      <name val="Calibri"/>
      <family val="2"/>
      <scheme val="minor"/>
    </font>
    <font>
      <b/>
      <sz val="12"/>
      <name val="Calibri"/>
      <family val="2"/>
      <scheme val="minor"/>
    </font>
    <font>
      <sz val="8"/>
      <name val="Calibri"/>
      <family val="2"/>
      <scheme val="minor"/>
    </font>
    <font>
      <b/>
      <sz val="11"/>
      <color theme="1"/>
      <name val="Calibri (Body)"/>
    </font>
    <font>
      <sz val="12"/>
      <color rgb="FF000000"/>
      <name val="Calibri"/>
      <family val="2"/>
    </font>
    <font>
      <sz val="11"/>
      <name val="Calibri (Body)"/>
    </font>
    <font>
      <sz val="10"/>
      <color theme="1"/>
      <name val="Calibri (Body)"/>
    </font>
  </fonts>
  <fills count="24">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2"/>
        <bgColor indexed="64"/>
      </patternFill>
    </fill>
    <fill>
      <patternFill patternType="solid">
        <fgColor rgb="FFB2E8B7"/>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5"/>
      </patternFill>
    </fill>
    <fill>
      <patternFill patternType="solid">
        <fgColor theme="5" tint="0.39997558519241921"/>
        <bgColor indexed="64"/>
      </patternFill>
    </fill>
    <fill>
      <patternFill patternType="solid">
        <fgColor theme="9" tint="0.59999389629810485"/>
        <bgColor indexed="64"/>
      </patternFill>
    </fill>
    <fill>
      <patternFill patternType="solid">
        <fgColor theme="4"/>
        <bgColor indexed="64"/>
      </patternFill>
    </fill>
    <fill>
      <patternFill patternType="solid">
        <fgColor theme="3"/>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4"/>
        <bgColor theme="4"/>
      </patternFill>
    </fill>
    <fill>
      <patternFill patternType="solid">
        <fgColor theme="3"/>
        <bgColor theme="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indexed="64"/>
      </top>
      <bottom/>
      <diagonal/>
    </border>
    <border>
      <left style="thin">
        <color rgb="FF000000"/>
      </left>
      <right style="thin">
        <color indexed="64"/>
      </right>
      <top/>
      <bottom style="thin">
        <color indexed="64"/>
      </bottom>
      <diagonal/>
    </border>
    <border>
      <left style="thin">
        <color indexed="64"/>
      </left>
      <right style="thin">
        <color rgb="FF000000"/>
      </right>
      <top/>
      <bottom style="thin">
        <color indexed="64"/>
      </bottom>
      <diagonal/>
    </border>
    <border>
      <left/>
      <right style="thin">
        <color indexed="64"/>
      </right>
      <top/>
      <bottom style="thin">
        <color theme="4" tint="0.39997558519241921"/>
      </bottom>
      <diagonal/>
    </border>
    <border>
      <left style="thin">
        <color indexed="64"/>
      </left>
      <right style="thin">
        <color indexed="64"/>
      </right>
      <top/>
      <bottom style="thin">
        <color theme="4" tint="0.39997558519241921"/>
      </bottom>
      <diagonal/>
    </border>
    <border>
      <left style="thin">
        <color indexed="64"/>
      </left>
      <right/>
      <top/>
      <bottom style="thin">
        <color theme="4" tint="0.39997558519241921"/>
      </bottom>
      <diagonal/>
    </border>
  </borders>
  <cellStyleXfs count="3">
    <xf numFmtId="0" fontId="0" fillId="0" borderId="0"/>
    <xf numFmtId="0" fontId="4" fillId="0" borderId="0" applyNumberFormat="0" applyFill="0" applyBorder="0" applyAlignment="0" applyProtection="0"/>
    <xf numFmtId="0" fontId="10" fillId="15" borderId="0" applyNumberFormat="0" applyBorder="0" applyAlignment="0" applyProtection="0"/>
  </cellStyleXfs>
  <cellXfs count="409">
    <xf numFmtId="0" fontId="0" fillId="0" borderId="0" xfId="0"/>
    <xf numFmtId="0" fontId="3" fillId="0" borderId="0" xfId="0" applyFont="1"/>
    <xf numFmtId="0" fontId="2" fillId="4" borderId="1" xfId="0" applyFont="1" applyFill="1" applyBorder="1"/>
    <xf numFmtId="0" fontId="2" fillId="3" borderId="1" xfId="0" applyFont="1" applyFill="1" applyBorder="1" applyAlignment="1">
      <alignment wrapText="1"/>
    </xf>
    <xf numFmtId="0" fontId="2" fillId="6" borderId="1" xfId="0" applyFont="1" applyFill="1" applyBorder="1"/>
    <xf numFmtId="0" fontId="1" fillId="6" borderId="1" xfId="0" applyFont="1" applyFill="1" applyBorder="1" applyAlignment="1">
      <alignment vertical="top"/>
    </xf>
    <xf numFmtId="0" fontId="4" fillId="0" borderId="0" xfId="1"/>
    <xf numFmtId="0" fontId="5" fillId="6" borderId="0" xfId="0" applyFont="1" applyFill="1"/>
    <xf numFmtId="0" fontId="6" fillId="6" borderId="0" xfId="0" applyFont="1" applyFill="1"/>
    <xf numFmtId="0" fontId="0" fillId="0" borderId="1" xfId="0" applyBorder="1"/>
    <xf numFmtId="0" fontId="5" fillId="7" borderId="0" xfId="1" applyFont="1" applyFill="1"/>
    <xf numFmtId="0" fontId="5" fillId="7" borderId="0" xfId="0" applyFont="1" applyFill="1"/>
    <xf numFmtId="0" fontId="5" fillId="6" borderId="0" xfId="1" applyFont="1" applyFill="1" applyAlignment="1"/>
    <xf numFmtId="0" fontId="6" fillId="7" borderId="0" xfId="0" applyFont="1" applyFill="1"/>
    <xf numFmtId="0" fontId="1" fillId="6" borderId="1" xfId="0" applyFont="1" applyFill="1" applyBorder="1"/>
    <xf numFmtId="0" fontId="7" fillId="0" borderId="1" xfId="0" applyFont="1" applyBorder="1"/>
    <xf numFmtId="0" fontId="0" fillId="5" borderId="1" xfId="0" applyFill="1" applyBorder="1"/>
    <xf numFmtId="0" fontId="0" fillId="6" borderId="0" xfId="0" applyFill="1"/>
    <xf numFmtId="0" fontId="5" fillId="6" borderId="0" xfId="1" applyFont="1" applyFill="1" applyAlignment="1">
      <alignment horizontal="left"/>
    </xf>
    <xf numFmtId="0" fontId="5" fillId="7" borderId="0" xfId="1" applyFont="1" applyFill="1" applyAlignment="1">
      <alignment horizontal="left"/>
    </xf>
    <xf numFmtId="0" fontId="6" fillId="6" borderId="0" xfId="1" applyFont="1" applyFill="1"/>
    <xf numFmtId="0" fontId="6" fillId="6" borderId="0" xfId="1" applyFont="1" applyFill="1" applyAlignment="1"/>
    <xf numFmtId="0" fontId="0" fillId="0" borderId="5" xfId="0" applyBorder="1"/>
    <xf numFmtId="0" fontId="0" fillId="5" borderId="5" xfId="0" applyFill="1" applyBorder="1" applyAlignment="1">
      <alignment horizontal="left"/>
    </xf>
    <xf numFmtId="0" fontId="0" fillId="0" borderId="0" xfId="0" applyAlignment="1">
      <alignment horizontal="left" vertical="top" wrapText="1"/>
    </xf>
    <xf numFmtId="0" fontId="0" fillId="7" borderId="5" xfId="0" applyFill="1" applyBorder="1" applyAlignment="1">
      <alignment horizontal="left"/>
    </xf>
    <xf numFmtId="0" fontId="0" fillId="0" borderId="5" xfId="0" applyBorder="1" applyAlignment="1">
      <alignment horizontal="left"/>
    </xf>
    <xf numFmtId="0" fontId="0" fillId="0" borderId="0" xfId="0" applyAlignment="1">
      <alignment horizontal="left"/>
    </xf>
    <xf numFmtId="0" fontId="1" fillId="7" borderId="1" xfId="0" applyFont="1" applyFill="1" applyBorder="1" applyAlignment="1">
      <alignment vertical="top"/>
    </xf>
    <xf numFmtId="0" fontId="6" fillId="6" borderId="0" xfId="1" applyFont="1" applyFill="1" applyAlignment="1">
      <alignment horizontal="left"/>
    </xf>
    <xf numFmtId="0" fontId="1" fillId="7" borderId="1" xfId="0" applyFont="1" applyFill="1" applyBorder="1"/>
    <xf numFmtId="0" fontId="0" fillId="0" borderId="9" xfId="0" applyBorder="1" applyAlignment="1">
      <alignment horizontal="center"/>
    </xf>
    <xf numFmtId="0" fontId="0" fillId="0" borderId="10" xfId="0" applyBorder="1" applyAlignment="1">
      <alignment horizontal="center"/>
    </xf>
    <xf numFmtId="0" fontId="1" fillId="5" borderId="5" xfId="0" applyFont="1" applyFill="1" applyBorder="1"/>
    <xf numFmtId="0" fontId="3" fillId="0" borderId="0" xfId="0" applyFont="1" applyAlignment="1">
      <alignment vertical="center"/>
    </xf>
    <xf numFmtId="0" fontId="0" fillId="0" borderId="0" xfId="0" applyAlignment="1">
      <alignment wrapText="1"/>
    </xf>
    <xf numFmtId="0" fontId="0" fillId="8" borderId="5" xfId="0" applyFill="1" applyBorder="1" applyAlignment="1">
      <alignment horizontal="left"/>
    </xf>
    <xf numFmtId="0" fontId="1" fillId="2" borderId="1" xfId="0" applyFont="1" applyFill="1" applyBorder="1" applyAlignment="1">
      <alignment vertical="top"/>
    </xf>
    <xf numFmtId="0" fontId="0" fillId="7" borderId="4" xfId="0" applyFill="1" applyBorder="1" applyAlignment="1">
      <alignment horizontal="center"/>
    </xf>
    <xf numFmtId="0" fontId="0" fillId="7" borderId="3" xfId="0" applyFill="1" applyBorder="1" applyAlignment="1">
      <alignment horizontal="center"/>
    </xf>
    <xf numFmtId="0" fontId="1" fillId="6" borderId="0" xfId="0" applyFont="1" applyFill="1" applyAlignment="1">
      <alignment horizontal="left"/>
    </xf>
    <xf numFmtId="0" fontId="1" fillId="6" borderId="15" xfId="0" applyFont="1" applyFill="1" applyBorder="1" applyAlignment="1">
      <alignment horizontal="left"/>
    </xf>
    <xf numFmtId="0" fontId="2" fillId="12" borderId="13" xfId="0" applyFont="1" applyFill="1" applyBorder="1" applyAlignment="1">
      <alignment horizontal="center" vertical="top" wrapText="1"/>
    </xf>
    <xf numFmtId="0" fontId="1" fillId="4" borderId="1" xfId="0" applyFont="1" applyFill="1" applyBorder="1"/>
    <xf numFmtId="0" fontId="0" fillId="0" borderId="0" xfId="0" applyAlignment="1">
      <alignment vertical="top" wrapText="1"/>
    </xf>
    <xf numFmtId="0" fontId="1" fillId="13" borderId="0" xfId="0" applyFont="1" applyFill="1" applyAlignment="1">
      <alignment vertical="top"/>
    </xf>
    <xf numFmtId="0" fontId="0" fillId="3" borderId="5" xfId="0" applyFill="1" applyBorder="1" applyAlignment="1">
      <alignment horizontal="left"/>
    </xf>
    <xf numFmtId="0" fontId="0" fillId="0" borderId="5" xfId="0" applyBorder="1" applyAlignment="1">
      <alignment horizontal="center"/>
    </xf>
    <xf numFmtId="0" fontId="0" fillId="0" borderId="0" xfId="0" applyAlignment="1">
      <alignment horizontal="center"/>
    </xf>
    <xf numFmtId="0" fontId="1" fillId="2" borderId="1" xfId="0" applyFont="1" applyFill="1" applyBorder="1"/>
    <xf numFmtId="0" fontId="2" fillId="6" borderId="1" xfId="0" applyFont="1" applyFill="1" applyBorder="1" applyAlignment="1">
      <alignment horizontal="left"/>
    </xf>
    <xf numFmtId="0" fontId="2" fillId="6" borderId="2" xfId="0" applyFont="1" applyFill="1" applyBorder="1"/>
    <xf numFmtId="0" fontId="2" fillId="6" borderId="4" xfId="0" applyFont="1" applyFill="1" applyBorder="1"/>
    <xf numFmtId="0" fontId="7" fillId="0" borderId="1" xfId="0" applyFont="1" applyBorder="1" applyAlignment="1">
      <alignment horizontal="left" vertical="top" wrapText="1"/>
    </xf>
    <xf numFmtId="0" fontId="7" fillId="0" borderId="1" xfId="0" applyFont="1" applyBorder="1" applyAlignment="1">
      <alignment horizontal="left" vertical="top"/>
    </xf>
    <xf numFmtId="0" fontId="7" fillId="0" borderId="1" xfId="0" applyFont="1" applyBorder="1" applyAlignment="1">
      <alignment vertical="top" wrapText="1"/>
    </xf>
    <xf numFmtId="0" fontId="2" fillId="12" borderId="1" xfId="0" applyFont="1" applyFill="1" applyBorder="1" applyAlignment="1">
      <alignment horizontal="center" vertical="top" wrapText="1"/>
    </xf>
    <xf numFmtId="0" fontId="7" fillId="0" borderId="1" xfId="0" applyFont="1" applyBorder="1" applyAlignment="1">
      <alignment horizontal="left"/>
    </xf>
    <xf numFmtId="0" fontId="7" fillId="0" borderId="2" xfId="0" applyFont="1" applyBorder="1" applyAlignment="1">
      <alignment horizontal="center"/>
    </xf>
    <xf numFmtId="0" fontId="7" fillId="0" borderId="4" xfId="0" applyFont="1" applyBorder="1" applyAlignment="1">
      <alignment horizontal="center"/>
    </xf>
    <xf numFmtId="0" fontId="7" fillId="0" borderId="3" xfId="0" applyFont="1" applyBorder="1" applyAlignment="1">
      <alignment horizontal="center"/>
    </xf>
    <xf numFmtId="0" fontId="7" fillId="0" borderId="3" xfId="0" applyFont="1" applyBorder="1"/>
    <xf numFmtId="0" fontId="7" fillId="7" borderId="1" xfId="0" applyFont="1" applyFill="1" applyBorder="1"/>
    <xf numFmtId="0" fontId="7" fillId="7" borderId="2" xfId="0" applyFont="1" applyFill="1" applyBorder="1" applyAlignment="1">
      <alignment horizontal="left"/>
    </xf>
    <xf numFmtId="0" fontId="7" fillId="7" borderId="1" xfId="0" applyFont="1" applyFill="1" applyBorder="1" applyAlignment="1">
      <alignment horizontal="left"/>
    </xf>
    <xf numFmtId="0" fontId="2" fillId="7" borderId="1" xfId="0" applyFont="1" applyFill="1" applyBorder="1"/>
    <xf numFmtId="0" fontId="2" fillId="11" borderId="1" xfId="0" applyFont="1" applyFill="1" applyBorder="1"/>
    <xf numFmtId="0" fontId="0" fillId="14" borderId="1" xfId="0" applyFill="1" applyBorder="1" applyAlignment="1">
      <alignment horizontal="center" vertical="top"/>
    </xf>
    <xf numFmtId="0" fontId="0" fillId="14" borderId="2" xfId="0" applyFill="1" applyBorder="1" applyAlignment="1">
      <alignment horizontal="center" vertical="top"/>
    </xf>
    <xf numFmtId="0" fontId="0" fillId="14" borderId="7" xfId="0" applyFill="1" applyBorder="1"/>
    <xf numFmtId="0" fontId="0" fillId="14" borderId="8" xfId="0" applyFill="1" applyBorder="1"/>
    <xf numFmtId="0" fontId="0" fillId="14" borderId="8" xfId="0" applyFill="1" applyBorder="1" applyAlignment="1">
      <alignment horizontal="center" vertical="top"/>
    </xf>
    <xf numFmtId="0" fontId="0" fillId="14" borderId="1" xfId="0" applyFill="1" applyBorder="1" applyAlignment="1">
      <alignment horizontal="left" vertical="top"/>
    </xf>
    <xf numFmtId="0" fontId="0" fillId="14" borderId="1" xfId="0" applyFill="1" applyBorder="1" applyAlignment="1">
      <alignment vertical="top" wrapText="1"/>
    </xf>
    <xf numFmtId="0" fontId="0" fillId="14" borderId="1" xfId="0" applyFill="1" applyBorder="1" applyAlignment="1">
      <alignment horizontal="left" vertical="top" wrapText="1"/>
    </xf>
    <xf numFmtId="0" fontId="0" fillId="14" borderId="1" xfId="0" applyFill="1" applyBorder="1" applyAlignment="1">
      <alignment vertical="top"/>
    </xf>
    <xf numFmtId="0" fontId="0" fillId="14" borderId="0" xfId="0" applyFill="1"/>
    <xf numFmtId="0" fontId="0" fillId="14" borderId="15" xfId="0" applyFill="1" applyBorder="1"/>
    <xf numFmtId="0" fontId="0" fillId="14" borderId="15" xfId="0" applyFill="1" applyBorder="1" applyAlignment="1">
      <alignment horizontal="center" vertical="top"/>
    </xf>
    <xf numFmtId="0" fontId="0" fillId="14" borderId="10" xfId="0" applyFill="1" applyBorder="1"/>
    <xf numFmtId="0" fontId="0" fillId="14" borderId="11" xfId="0" applyFill="1" applyBorder="1"/>
    <xf numFmtId="0" fontId="0" fillId="14" borderId="11" xfId="0" applyFill="1" applyBorder="1" applyAlignment="1">
      <alignment horizontal="center" vertical="top"/>
    </xf>
    <xf numFmtId="0" fontId="0" fillId="14" borderId="6" xfId="0" applyFill="1" applyBorder="1" applyAlignment="1">
      <alignment horizontal="center"/>
    </xf>
    <xf numFmtId="0" fontId="0" fillId="14" borderId="7" xfId="0" applyFill="1" applyBorder="1" applyAlignment="1">
      <alignment horizontal="center"/>
    </xf>
    <xf numFmtId="0" fontId="0" fillId="14" borderId="8" xfId="0" applyFill="1" applyBorder="1" applyAlignment="1">
      <alignment horizontal="center"/>
    </xf>
    <xf numFmtId="0" fontId="0" fillId="14" borderId="5" xfId="0" applyFill="1" applyBorder="1" applyAlignment="1">
      <alignment horizontal="center"/>
    </xf>
    <xf numFmtId="0" fontId="0" fillId="14" borderId="0" xfId="0" applyFill="1" applyAlignment="1">
      <alignment horizontal="center"/>
    </xf>
    <xf numFmtId="0" fontId="0" fillId="14" borderId="15" xfId="0" applyFill="1" applyBorder="1" applyAlignment="1">
      <alignment horizontal="center"/>
    </xf>
    <xf numFmtId="0" fontId="0" fillId="14" borderId="9" xfId="0" applyFill="1" applyBorder="1" applyAlignment="1">
      <alignment horizontal="center"/>
    </xf>
    <xf numFmtId="0" fontId="0" fillId="14" borderId="10" xfId="0" applyFill="1" applyBorder="1" applyAlignment="1">
      <alignment horizontal="center"/>
    </xf>
    <xf numFmtId="0" fontId="0" fillId="14" borderId="11" xfId="0" applyFill="1" applyBorder="1" applyAlignment="1">
      <alignment horizontal="center"/>
    </xf>
    <xf numFmtId="0" fontId="7" fillId="0" borderId="13" xfId="0" applyFont="1" applyBorder="1" applyAlignment="1">
      <alignment horizontal="left" vertical="top"/>
    </xf>
    <xf numFmtId="0" fontId="7" fillId="2" borderId="1" xfId="0" applyFont="1" applyFill="1" applyBorder="1" applyAlignment="1">
      <alignment horizontal="left" vertical="top"/>
    </xf>
    <xf numFmtId="0" fontId="7" fillId="0" borderId="2" xfId="0" applyFont="1" applyBorder="1" applyAlignment="1">
      <alignment horizontal="left" vertical="top"/>
    </xf>
    <xf numFmtId="0" fontId="7" fillId="0" borderId="4" xfId="0" applyFont="1" applyBorder="1" applyAlignment="1">
      <alignment horizontal="left" vertical="top"/>
    </xf>
    <xf numFmtId="0" fontId="7" fillId="0" borderId="3" xfId="0" applyFont="1" applyBorder="1" applyAlignment="1">
      <alignment horizontal="left" vertical="top"/>
    </xf>
    <xf numFmtId="0" fontId="7" fillId="0" borderId="1" xfId="0" applyFont="1" applyBorder="1" applyAlignment="1">
      <alignment vertical="top"/>
    </xf>
    <xf numFmtId="0" fontId="2" fillId="12" borderId="2" xfId="0" applyFont="1" applyFill="1" applyBorder="1" applyAlignment="1">
      <alignment horizontal="center" vertical="top" wrapText="1"/>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8" borderId="1" xfId="0" applyFont="1" applyFill="1" applyBorder="1"/>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14" fontId="7" fillId="0" borderId="1" xfId="0" applyNumberFormat="1" applyFont="1" applyBorder="1" applyAlignment="1">
      <alignment horizontal="left" vertical="top" wrapText="1"/>
    </xf>
    <xf numFmtId="0" fontId="9" fillId="0" borderId="1" xfId="0" quotePrefix="1" applyFont="1" applyBorder="1" applyAlignment="1">
      <alignment vertical="top" wrapText="1"/>
    </xf>
    <xf numFmtId="0" fontId="9" fillId="0" borderId="1" xfId="0" applyFont="1" applyBorder="1" applyAlignment="1">
      <alignment vertical="top" wrapText="1"/>
    </xf>
    <xf numFmtId="0" fontId="7" fillId="0" borderId="1" xfId="0" applyFont="1" applyBorder="1" applyAlignment="1">
      <alignment horizontal="left" wrapText="1"/>
    </xf>
    <xf numFmtId="0" fontId="5" fillId="2" borderId="0" xfId="1" applyFont="1" applyFill="1" applyAlignment="1">
      <alignment horizontal="left"/>
    </xf>
    <xf numFmtId="0" fontId="1" fillId="4" borderId="1" xfId="0" applyFont="1" applyFill="1" applyBorder="1" applyAlignment="1">
      <alignment horizontal="left"/>
    </xf>
    <xf numFmtId="0" fontId="2" fillId="4" borderId="1" xfId="0" applyFont="1" applyFill="1" applyBorder="1" applyAlignment="1">
      <alignment horizontal="left"/>
    </xf>
    <xf numFmtId="0" fontId="1" fillId="2" borderId="1" xfId="0" applyFont="1" applyFill="1" applyBorder="1" applyAlignment="1">
      <alignment horizontal="left"/>
    </xf>
    <xf numFmtId="0" fontId="2" fillId="2" borderId="1" xfId="0" applyFont="1" applyFill="1" applyBorder="1" applyAlignment="1">
      <alignment horizontal="left"/>
    </xf>
    <xf numFmtId="0" fontId="1" fillId="2" borderId="1" xfId="0" applyFont="1" applyFill="1" applyBorder="1" applyAlignment="1">
      <alignment wrapText="1"/>
    </xf>
    <xf numFmtId="2" fontId="0" fillId="0" borderId="1" xfId="0" applyNumberFormat="1" applyBorder="1" applyAlignment="1">
      <alignment wrapText="1"/>
    </xf>
    <xf numFmtId="0" fontId="7" fillId="0" borderId="0" xfId="0" applyFont="1" applyAlignment="1">
      <alignment horizontal="left" wrapText="1"/>
    </xf>
    <xf numFmtId="0" fontId="7" fillId="2" borderId="1" xfId="0" applyFont="1" applyFill="1" applyBorder="1" applyAlignment="1">
      <alignment horizontal="left" wrapText="1"/>
    </xf>
    <xf numFmtId="0" fontId="1" fillId="17" borderId="9" xfId="0" applyFont="1" applyFill="1" applyBorder="1"/>
    <xf numFmtId="0" fontId="1" fillId="17" borderId="10" xfId="0" applyFont="1" applyFill="1" applyBorder="1"/>
    <xf numFmtId="0" fontId="1" fillId="6" borderId="1" xfId="0" applyFont="1" applyFill="1" applyBorder="1" applyAlignment="1">
      <alignment wrapText="1"/>
    </xf>
    <xf numFmtId="0" fontId="7" fillId="2" borderId="1" xfId="0" applyFont="1" applyFill="1" applyBorder="1" applyAlignment="1">
      <alignment horizontal="left" vertical="top" wrapText="1"/>
    </xf>
    <xf numFmtId="0" fontId="9" fillId="2" borderId="1" xfId="0" applyFont="1" applyFill="1" applyBorder="1" applyAlignment="1">
      <alignment horizontal="left" vertical="top" wrapText="1"/>
    </xf>
    <xf numFmtId="0" fontId="1" fillId="12" borderId="1" xfId="0" applyFont="1" applyFill="1" applyBorder="1" applyAlignment="1">
      <alignment horizontal="left" wrapText="1"/>
    </xf>
    <xf numFmtId="0" fontId="1" fillId="6" borderId="2" xfId="0" applyFont="1" applyFill="1" applyBorder="1"/>
    <xf numFmtId="0" fontId="7" fillId="0" borderId="2" xfId="0" applyFont="1" applyBorder="1" applyAlignment="1">
      <alignment horizontal="left" vertical="top" wrapText="1"/>
    </xf>
    <xf numFmtId="0" fontId="1" fillId="16" borderId="1" xfId="0" applyFont="1" applyFill="1" applyBorder="1" applyAlignment="1">
      <alignment wrapText="1"/>
    </xf>
    <xf numFmtId="0" fontId="2" fillId="2" borderId="1" xfId="0" applyFont="1" applyFill="1" applyBorder="1" applyAlignment="1">
      <alignment wrapText="1"/>
    </xf>
    <xf numFmtId="2" fontId="11" fillId="0" borderId="1" xfId="0" applyNumberFormat="1" applyFont="1" applyBorder="1" applyAlignment="1">
      <alignment horizontal="center" wrapText="1"/>
    </xf>
    <xf numFmtId="0" fontId="0" fillId="0" borderId="2" xfId="0" applyBorder="1" applyAlignment="1">
      <alignment wrapText="1"/>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2" fillId="6" borderId="13" xfId="0" applyFont="1" applyFill="1" applyBorder="1" applyAlignment="1">
      <alignment horizontal="center" wrapText="1"/>
    </xf>
    <xf numFmtId="0" fontId="1" fillId="6" borderId="13" xfId="0" applyFont="1" applyFill="1" applyBorder="1" applyAlignment="1">
      <alignment horizontal="left" wrapText="1"/>
    </xf>
    <xf numFmtId="0" fontId="1" fillId="6" borderId="12" xfId="0" applyFont="1" applyFill="1" applyBorder="1" applyAlignment="1">
      <alignment horizontal="left" wrapText="1"/>
    </xf>
    <xf numFmtId="0" fontId="1" fillId="6" borderId="2" xfId="0" applyFont="1" applyFill="1" applyBorder="1" applyAlignment="1">
      <alignment horizontal="left" wrapText="1"/>
    </xf>
    <xf numFmtId="0" fontId="1" fillId="6" borderId="3" xfId="0" applyFont="1" applyFill="1" applyBorder="1" applyAlignment="1">
      <alignment horizontal="left" wrapText="1"/>
    </xf>
    <xf numFmtId="0" fontId="1" fillId="2" borderId="0" xfId="0" applyFont="1" applyFill="1" applyAlignment="1">
      <alignment horizontal="left" vertical="top" wrapText="1"/>
    </xf>
    <xf numFmtId="0" fontId="7" fillId="0" borderId="3" xfId="0" applyFont="1" applyBorder="1" applyAlignment="1">
      <alignment vertical="top" wrapText="1"/>
    </xf>
    <xf numFmtId="0" fontId="7" fillId="0" borderId="8" xfId="0" applyFont="1" applyBorder="1" applyAlignment="1">
      <alignment vertical="top" wrapText="1"/>
    </xf>
    <xf numFmtId="0" fontId="7" fillId="0" borderId="13" xfId="0" applyFont="1" applyBorder="1" applyAlignment="1">
      <alignment vertical="top" wrapText="1"/>
    </xf>
    <xf numFmtId="0" fontId="7" fillId="0" borderId="13" xfId="0" applyFont="1" applyBorder="1" applyAlignment="1">
      <alignment horizontal="left" vertical="top" wrapText="1"/>
    </xf>
    <xf numFmtId="0" fontId="7" fillId="0" borderId="6" xfId="0" applyFont="1" applyBorder="1" applyAlignment="1">
      <alignment horizontal="left" vertical="top" wrapText="1"/>
    </xf>
    <xf numFmtId="0" fontId="7" fillId="0" borderId="3" xfId="0" applyFont="1" applyBorder="1" applyAlignment="1">
      <alignment horizontal="left" vertical="top" wrapText="1"/>
    </xf>
    <xf numFmtId="0" fontId="7" fillId="0" borderId="8" xfId="0" applyFont="1" applyBorder="1" applyAlignment="1">
      <alignment horizontal="left" vertical="top" wrapText="1"/>
    </xf>
    <xf numFmtId="0" fontId="2" fillId="19" borderId="11" xfId="0" applyFont="1" applyFill="1" applyBorder="1" applyAlignment="1">
      <alignment wrapText="1"/>
    </xf>
    <xf numFmtId="0" fontId="2" fillId="19" borderId="12" xfId="0" applyFont="1" applyFill="1" applyBorder="1" applyAlignment="1">
      <alignment wrapText="1"/>
    </xf>
    <xf numFmtId="0" fontId="2" fillId="19" borderId="9" xfId="0" applyFont="1" applyFill="1" applyBorder="1" applyAlignment="1">
      <alignment wrapText="1"/>
    </xf>
    <xf numFmtId="0" fontId="12" fillId="0" borderId="3" xfId="0" applyFont="1" applyBorder="1" applyAlignment="1">
      <alignment horizontal="left" vertical="top" wrapText="1"/>
    </xf>
    <xf numFmtId="0" fontId="12" fillId="0" borderId="1" xfId="0" applyFont="1" applyBorder="1" applyAlignment="1">
      <alignment horizontal="left" vertical="top" wrapText="1"/>
    </xf>
    <xf numFmtId="0" fontId="12" fillId="0" borderId="2" xfId="0" applyFont="1" applyBorder="1" applyAlignment="1">
      <alignment horizontal="left" vertical="top" wrapText="1"/>
    </xf>
    <xf numFmtId="0" fontId="7" fillId="2" borderId="3" xfId="0" applyFont="1" applyFill="1" applyBorder="1" applyAlignment="1">
      <alignment horizontal="left" vertical="top" wrapText="1"/>
    </xf>
    <xf numFmtId="0" fontId="7" fillId="2" borderId="2" xfId="0" applyFont="1" applyFill="1" applyBorder="1" applyAlignment="1">
      <alignment horizontal="left" vertical="top" wrapText="1"/>
    </xf>
    <xf numFmtId="0" fontId="7" fillId="2" borderId="8" xfId="0" applyFont="1" applyFill="1" applyBorder="1" applyAlignment="1">
      <alignment horizontal="left" vertical="top" wrapText="1"/>
    </xf>
    <xf numFmtId="0" fontId="9" fillId="2" borderId="13" xfId="0" applyFont="1" applyFill="1" applyBorder="1" applyAlignment="1">
      <alignment horizontal="left" vertical="top" wrapText="1"/>
    </xf>
    <xf numFmtId="0" fontId="7" fillId="2" borderId="13" xfId="0" applyFont="1" applyFill="1" applyBorder="1" applyAlignment="1">
      <alignment horizontal="left" vertical="top" wrapText="1"/>
    </xf>
    <xf numFmtId="0" fontId="9" fillId="0" borderId="3" xfId="0" applyFont="1" applyBorder="1" applyAlignment="1">
      <alignment vertical="top" wrapText="1"/>
    </xf>
    <xf numFmtId="0" fontId="9" fillId="0" borderId="2" xfId="0" applyFont="1" applyBorder="1" applyAlignment="1">
      <alignment vertical="top" wrapText="1"/>
    </xf>
    <xf numFmtId="0" fontId="9" fillId="0" borderId="8" xfId="0" applyFont="1" applyBorder="1" applyAlignment="1">
      <alignment vertical="top" wrapText="1"/>
    </xf>
    <xf numFmtId="0" fontId="9" fillId="0" borderId="13" xfId="0" applyFont="1" applyBorder="1" applyAlignment="1">
      <alignment vertical="top" wrapText="1"/>
    </xf>
    <xf numFmtId="0" fontId="9" fillId="0" borderId="13" xfId="0" quotePrefix="1" applyFont="1" applyBorder="1" applyAlignment="1">
      <alignment vertical="top" wrapText="1"/>
    </xf>
    <xf numFmtId="0" fontId="9" fillId="0" borderId="6" xfId="0" applyFont="1" applyBorder="1" applyAlignment="1">
      <alignment vertical="top" wrapText="1"/>
    </xf>
    <xf numFmtId="0" fontId="2" fillId="19" borderId="3" xfId="0" applyFont="1" applyFill="1" applyBorder="1" applyAlignment="1">
      <alignment wrapText="1"/>
    </xf>
    <xf numFmtId="0" fontId="2" fillId="19" borderId="1" xfId="0" applyFont="1" applyFill="1" applyBorder="1" applyAlignment="1">
      <alignment wrapText="1"/>
    </xf>
    <xf numFmtId="0" fontId="2" fillId="19" borderId="12" xfId="0" applyFont="1" applyFill="1" applyBorder="1" applyAlignment="1">
      <alignment horizontal="center" vertical="center" wrapText="1"/>
    </xf>
    <xf numFmtId="0" fontId="2" fillId="19" borderId="6" xfId="0" applyFont="1" applyFill="1" applyBorder="1" applyAlignment="1">
      <alignment horizontal="center" vertical="center" wrapText="1"/>
    </xf>
    <xf numFmtId="0" fontId="7" fillId="0" borderId="2" xfId="0" applyFont="1" applyBorder="1" applyAlignment="1">
      <alignment vertical="top" wrapText="1"/>
    </xf>
    <xf numFmtId="0" fontId="7" fillId="0" borderId="6" xfId="0" applyFont="1" applyBorder="1" applyAlignment="1">
      <alignment vertical="top" wrapText="1"/>
    </xf>
    <xf numFmtId="0" fontId="2" fillId="19" borderId="6" xfId="0" applyFont="1" applyFill="1" applyBorder="1" applyAlignment="1">
      <alignment horizontal="center" wrapText="1"/>
    </xf>
    <xf numFmtId="0" fontId="1" fillId="19" borderId="11" xfId="0" applyFont="1" applyFill="1" applyBorder="1" applyAlignment="1">
      <alignment wrapText="1"/>
    </xf>
    <xf numFmtId="0" fontId="8" fillId="19" borderId="12" xfId="0" applyFont="1" applyFill="1" applyBorder="1" applyAlignment="1">
      <alignment wrapText="1"/>
    </xf>
    <xf numFmtId="0" fontId="1" fillId="19" borderId="12" xfId="0" applyFont="1" applyFill="1" applyBorder="1" applyAlignment="1">
      <alignment wrapText="1"/>
    </xf>
    <xf numFmtId="0" fontId="1" fillId="19" borderId="9" xfId="0" applyFont="1" applyFill="1" applyBorder="1" applyAlignment="1">
      <alignment wrapText="1"/>
    </xf>
    <xf numFmtId="0" fontId="1" fillId="19" borderId="11" xfId="0" applyFont="1" applyFill="1" applyBorder="1"/>
    <xf numFmtId="0" fontId="1" fillId="19" borderId="12" xfId="0" applyFont="1" applyFill="1" applyBorder="1"/>
    <xf numFmtId="0" fontId="1" fillId="19" borderId="9" xfId="0" applyFont="1" applyFill="1" applyBorder="1"/>
    <xf numFmtId="0" fontId="2" fillId="19" borderId="14" xfId="0" applyFont="1" applyFill="1" applyBorder="1" applyAlignment="1">
      <alignment wrapText="1"/>
    </xf>
    <xf numFmtId="0" fontId="2" fillId="19" borderId="15" xfId="0" applyFont="1" applyFill="1" applyBorder="1" applyAlignment="1">
      <alignment wrapText="1"/>
    </xf>
    <xf numFmtId="0" fontId="2" fillId="19" borderId="5" xfId="0" applyFont="1" applyFill="1" applyBorder="1" applyAlignment="1">
      <alignment wrapText="1"/>
    </xf>
    <xf numFmtId="0" fontId="2" fillId="19" borderId="11" xfId="0" applyFont="1" applyFill="1" applyBorder="1"/>
    <xf numFmtId="0" fontId="2" fillId="19" borderId="12" xfId="0" applyFont="1" applyFill="1" applyBorder="1"/>
    <xf numFmtId="0" fontId="2" fillId="19" borderId="9" xfId="0" applyFont="1" applyFill="1" applyBorder="1"/>
    <xf numFmtId="0" fontId="2" fillId="19" borderId="14" xfId="0" applyFont="1" applyFill="1" applyBorder="1"/>
    <xf numFmtId="0" fontId="7" fillId="0" borderId="3" xfId="0" applyFont="1" applyBorder="1" applyAlignment="1">
      <alignment horizontal="left" wrapText="1"/>
    </xf>
    <xf numFmtId="0" fontId="7" fillId="0" borderId="2" xfId="0" applyFont="1" applyBorder="1" applyAlignment="1">
      <alignment horizontal="left" wrapText="1"/>
    </xf>
    <xf numFmtId="0" fontId="7" fillId="0" borderId="8" xfId="0" applyFont="1" applyBorder="1" applyAlignment="1">
      <alignment horizontal="left" wrapText="1"/>
    </xf>
    <xf numFmtId="0" fontId="7" fillId="0" borderId="13" xfId="0" applyFont="1" applyBorder="1" applyAlignment="1">
      <alignment horizontal="left" wrapText="1"/>
    </xf>
    <xf numFmtId="0" fontId="7" fillId="0" borderId="13" xfId="0" applyFont="1" applyBorder="1"/>
    <xf numFmtId="0" fontId="7" fillId="0" borderId="6" xfId="0" applyFont="1" applyBorder="1" applyAlignment="1">
      <alignment horizontal="left" wrapText="1"/>
    </xf>
    <xf numFmtId="0" fontId="2" fillId="19" borderId="9" xfId="0" applyFont="1" applyFill="1" applyBorder="1" applyAlignment="1">
      <alignment horizontal="center" vertical="center" wrapText="1"/>
    </xf>
    <xf numFmtId="0" fontId="1" fillId="12" borderId="9" xfId="0" applyFont="1" applyFill="1" applyBorder="1" applyAlignment="1">
      <alignment wrapText="1"/>
    </xf>
    <xf numFmtId="0" fontId="9" fillId="0" borderId="2" xfId="0" quotePrefix="1" applyFont="1" applyBorder="1" applyAlignment="1">
      <alignment vertical="top" wrapText="1"/>
    </xf>
    <xf numFmtId="0" fontId="2" fillId="0" borderId="12" xfId="0" applyFont="1" applyBorder="1" applyAlignment="1">
      <alignment wrapText="1"/>
    </xf>
    <xf numFmtId="0" fontId="0" fillId="20" borderId="16" xfId="0" applyFill="1" applyBorder="1"/>
    <xf numFmtId="0" fontId="0" fillId="0" borderId="16" xfId="0" applyBorder="1"/>
    <xf numFmtId="0" fontId="14" fillId="19" borderId="12" xfId="0" applyFont="1" applyFill="1" applyBorder="1"/>
    <xf numFmtId="0" fontId="13" fillId="19" borderId="12" xfId="0" applyFont="1" applyFill="1" applyBorder="1"/>
    <xf numFmtId="0" fontId="0" fillId="0" borderId="17" xfId="0" applyBorder="1"/>
    <xf numFmtId="0" fontId="7" fillId="0" borderId="1" xfId="0" quotePrefix="1" applyFont="1" applyBorder="1" applyAlignment="1">
      <alignment vertical="top" wrapText="1"/>
    </xf>
    <xf numFmtId="0" fontId="7" fillId="0" borderId="2" xfId="0" quotePrefix="1" applyFont="1" applyBorder="1" applyAlignment="1">
      <alignment vertical="top" wrapText="1"/>
    </xf>
    <xf numFmtId="0" fontId="0" fillId="12" borderId="0" xfId="0" applyFill="1" applyAlignment="1">
      <alignment horizontal="center"/>
    </xf>
    <xf numFmtId="0" fontId="15" fillId="14" borderId="0" xfId="0" applyFont="1" applyFill="1" applyAlignment="1">
      <alignment horizontal="center" vertical="center"/>
    </xf>
    <xf numFmtId="0" fontId="1" fillId="12" borderId="5" xfId="0" applyFont="1" applyFill="1" applyBorder="1" applyAlignment="1">
      <alignment horizontal="left" wrapText="1"/>
    </xf>
    <xf numFmtId="0" fontId="7" fillId="0" borderId="14" xfId="0" applyFont="1" applyBorder="1" applyAlignment="1">
      <alignment horizontal="left" vertical="top" wrapText="1"/>
    </xf>
    <xf numFmtId="0" fontId="1" fillId="0" borderId="14" xfId="0" applyFont="1" applyBorder="1" applyAlignment="1">
      <alignment horizontal="left" wrapText="1"/>
    </xf>
    <xf numFmtId="0" fontId="1" fillId="0" borderId="14" xfId="0" applyFont="1" applyBorder="1" applyAlignment="1">
      <alignment wrapText="1"/>
    </xf>
    <xf numFmtId="0" fontId="1" fillId="0" borderId="12" xfId="0" applyFont="1" applyBorder="1" applyAlignment="1">
      <alignment horizontal="left" wrapText="1"/>
    </xf>
    <xf numFmtId="0" fontId="1" fillId="0" borderId="14" xfId="0" applyFont="1" applyBorder="1" applyAlignment="1">
      <alignment horizontal="center" wrapText="1"/>
    </xf>
    <xf numFmtId="0" fontId="1" fillId="19" borderId="15" xfId="0" applyFont="1" applyFill="1" applyBorder="1" applyAlignment="1">
      <alignment horizontal="left" wrapText="1"/>
    </xf>
    <xf numFmtId="0" fontId="1" fillId="19" borderId="14" xfId="0" applyFont="1" applyFill="1" applyBorder="1" applyAlignment="1">
      <alignment horizontal="left" wrapText="1"/>
    </xf>
    <xf numFmtId="0" fontId="13" fillId="0" borderId="14" xfId="0" applyFont="1" applyBorder="1" applyAlignment="1">
      <alignment horizontal="center" wrapText="1"/>
    </xf>
    <xf numFmtId="0" fontId="7" fillId="0" borderId="15" xfId="0" applyFont="1" applyBorder="1" applyAlignment="1">
      <alignment horizontal="left" vertical="top" wrapText="1"/>
    </xf>
    <xf numFmtId="0" fontId="7" fillId="0" borderId="5" xfId="0" applyFont="1" applyBorder="1" applyAlignment="1">
      <alignment horizontal="left" vertical="top" wrapText="1"/>
    </xf>
    <xf numFmtId="0" fontId="7" fillId="0" borderId="8" xfId="0" applyFont="1" applyBorder="1" applyAlignment="1">
      <alignment wrapText="1"/>
    </xf>
    <xf numFmtId="0" fontId="7" fillId="0" borderId="13" xfId="0" applyFont="1" applyBorder="1" applyAlignment="1">
      <alignment wrapText="1"/>
    </xf>
    <xf numFmtId="0" fontId="7" fillId="0" borderId="6" xfId="0" applyFont="1" applyBorder="1" applyAlignment="1">
      <alignment wrapText="1"/>
    </xf>
    <xf numFmtId="0" fontId="7" fillId="0" borderId="15" xfId="0" applyFont="1" applyBorder="1" applyAlignment="1">
      <alignment wrapText="1"/>
    </xf>
    <xf numFmtId="0" fontId="7" fillId="0" borderId="14" xfId="0" applyFont="1" applyBorder="1" applyAlignment="1">
      <alignment wrapText="1"/>
    </xf>
    <xf numFmtId="0" fontId="7" fillId="0" borderId="14" xfId="0" applyFont="1" applyBorder="1"/>
    <xf numFmtId="0" fontId="7" fillId="0" borderId="5" xfId="0" applyFont="1" applyBorder="1" applyAlignment="1">
      <alignment wrapText="1"/>
    </xf>
    <xf numFmtId="0" fontId="2" fillId="19" borderId="15" xfId="0" applyFont="1" applyFill="1" applyBorder="1" applyAlignment="1">
      <alignment horizontal="center" vertical="center" wrapText="1"/>
    </xf>
    <xf numFmtId="0" fontId="2" fillId="19" borderId="14" xfId="0" applyFont="1" applyFill="1" applyBorder="1" applyAlignment="1">
      <alignment horizontal="center" vertical="center" wrapText="1"/>
    </xf>
    <xf numFmtId="0" fontId="1" fillId="18" borderId="14" xfId="0" applyFont="1" applyFill="1" applyBorder="1" applyAlignment="1">
      <alignment horizontal="center" vertical="center" wrapText="1"/>
    </xf>
    <xf numFmtId="0" fontId="1" fillId="12" borderId="9" xfId="0" applyFont="1" applyFill="1" applyBorder="1" applyAlignment="1">
      <alignment horizontal="center" vertical="center" wrapText="1"/>
    </xf>
    <xf numFmtId="164" fontId="7" fillId="0" borderId="1" xfId="0" applyNumberFormat="1" applyFont="1" applyBorder="1" applyAlignment="1">
      <alignment horizontal="left" vertical="top" wrapText="1"/>
    </xf>
    <xf numFmtId="0" fontId="7" fillId="0" borderId="0" xfId="0" applyFont="1"/>
    <xf numFmtId="164" fontId="7" fillId="0" borderId="13" xfId="0" applyNumberFormat="1" applyFont="1" applyBorder="1" applyAlignment="1">
      <alignment horizontal="left" vertical="top" wrapText="1"/>
    </xf>
    <xf numFmtId="0" fontId="16" fillId="0" borderId="1" xfId="0" applyFont="1" applyBorder="1" applyAlignment="1">
      <alignment vertical="top" wrapText="1"/>
    </xf>
    <xf numFmtId="0" fontId="16" fillId="0" borderId="1" xfId="0" applyFont="1" applyBorder="1" applyAlignment="1">
      <alignment vertical="center" wrapText="1"/>
    </xf>
    <xf numFmtId="0" fontId="16" fillId="0" borderId="2" xfId="0" applyFont="1" applyBorder="1" applyAlignment="1">
      <alignment wrapText="1"/>
    </xf>
    <xf numFmtId="0" fontId="16" fillId="0" borderId="2" xfId="0" applyFont="1" applyBorder="1" applyAlignment="1">
      <alignment vertical="top" wrapText="1"/>
    </xf>
    <xf numFmtId="0" fontId="16" fillId="0" borderId="13" xfId="0" applyFont="1" applyBorder="1" applyAlignment="1">
      <alignment vertical="center" wrapText="1"/>
    </xf>
    <xf numFmtId="0" fontId="16" fillId="0" borderId="6" xfId="0" applyFont="1" applyBorder="1" applyAlignment="1">
      <alignment vertical="top" wrapText="1"/>
    </xf>
    <xf numFmtId="0" fontId="1" fillId="0" borderId="12" xfId="0" applyFont="1" applyBorder="1"/>
    <xf numFmtId="0" fontId="1" fillId="0" borderId="12" xfId="0" applyFont="1" applyBorder="1" applyAlignment="1">
      <alignment wrapText="1"/>
    </xf>
    <xf numFmtId="0" fontId="2" fillId="0" borderId="12" xfId="0" applyFont="1" applyBorder="1"/>
    <xf numFmtId="0" fontId="2" fillId="0" borderId="14" xfId="0" applyFont="1" applyBorder="1" applyAlignment="1">
      <alignment wrapText="1"/>
    </xf>
    <xf numFmtId="0" fontId="1" fillId="0" borderId="9" xfId="0" applyFont="1" applyBorder="1" applyAlignment="1">
      <alignment wrapText="1"/>
    </xf>
    <xf numFmtId="0" fontId="2" fillId="0" borderId="14" xfId="0" applyFont="1" applyBorder="1"/>
    <xf numFmtId="0" fontId="2" fillId="0" borderId="12" xfId="0" applyFont="1" applyBorder="1" applyAlignment="1">
      <alignment horizontal="center" vertical="center" wrapText="1"/>
    </xf>
    <xf numFmtId="0" fontId="2" fillId="0" borderId="3" xfId="0" applyFont="1" applyBorder="1" applyAlignment="1">
      <alignment wrapText="1"/>
    </xf>
    <xf numFmtId="0" fontId="2" fillId="0" borderId="1" xfId="0" applyFont="1" applyBorder="1" applyAlignment="1">
      <alignment wrapText="1"/>
    </xf>
    <xf numFmtId="0" fontId="2" fillId="0" borderId="12" xfId="0" applyFont="1" applyBorder="1" applyAlignment="1">
      <alignment horizontal="center" wrapText="1"/>
    </xf>
    <xf numFmtId="0" fontId="18" fillId="0" borderId="1" xfId="0" applyFont="1" applyBorder="1" applyAlignment="1">
      <alignment vertical="top" wrapText="1"/>
    </xf>
    <xf numFmtId="0" fontId="9" fillId="0" borderId="1" xfId="0" applyFont="1" applyBorder="1" applyAlignment="1">
      <alignment horizontal="left" vertical="top" wrapText="1"/>
    </xf>
    <xf numFmtId="0" fontId="0" fillId="0" borderId="1" xfId="0" applyBorder="1" applyAlignment="1">
      <alignment vertical="top" wrapText="1"/>
    </xf>
    <xf numFmtId="0" fontId="19" fillId="0" borderId="1" xfId="0" applyFont="1" applyBorder="1" applyAlignment="1">
      <alignment vertical="top" wrapText="1"/>
    </xf>
    <xf numFmtId="0" fontId="7" fillId="0" borderId="0" xfId="0" applyFont="1" applyAlignment="1">
      <alignment vertical="top" wrapText="1"/>
    </xf>
    <xf numFmtId="0" fontId="7" fillId="0" borderId="0" xfId="0" quotePrefix="1" applyFont="1" applyAlignment="1">
      <alignment vertical="top" wrapText="1"/>
    </xf>
    <xf numFmtId="0" fontId="7" fillId="0" borderId="3" xfId="0" applyFont="1" applyBorder="1" applyAlignment="1">
      <alignment horizontal="left" vertical="center" wrapText="1"/>
    </xf>
    <xf numFmtId="0" fontId="7" fillId="0" borderId="1" xfId="0" applyFont="1" applyBorder="1" applyAlignment="1">
      <alignment horizontal="left" vertical="center" wrapText="1"/>
    </xf>
    <xf numFmtId="0" fontId="5" fillId="7" borderId="0" xfId="1" applyFont="1" applyFill="1" applyAlignment="1"/>
    <xf numFmtId="0" fontId="5" fillId="0" borderId="0" xfId="1" applyFont="1" applyFill="1" applyAlignment="1"/>
    <xf numFmtId="0" fontId="13" fillId="18" borderId="1" xfId="0" applyFont="1" applyFill="1" applyBorder="1" applyAlignment="1">
      <alignment horizontal="center" vertical="center" wrapText="1"/>
    </xf>
    <xf numFmtId="0" fontId="7" fillId="0" borderId="1" xfId="0" applyFont="1" applyBorder="1" applyAlignment="1">
      <alignment horizontal="center" vertical="center" wrapText="1"/>
    </xf>
    <xf numFmtId="0" fontId="13" fillId="18" borderId="2" xfId="0" applyFont="1" applyFill="1" applyBorder="1" applyAlignment="1">
      <alignment horizontal="center" vertical="center" wrapText="1"/>
    </xf>
    <xf numFmtId="0" fontId="15" fillId="0" borderId="0" xfId="0" applyFont="1" applyAlignment="1">
      <alignment horizontal="center" vertical="center" wrapText="1"/>
    </xf>
    <xf numFmtId="0" fontId="22" fillId="0" borderId="0" xfId="0" applyFont="1" applyAlignment="1">
      <alignment horizontal="center" vertical="center" wrapText="1"/>
    </xf>
    <xf numFmtId="0" fontId="9" fillId="0" borderId="0" xfId="0" applyFont="1" applyAlignment="1">
      <alignment horizontal="left" vertical="center" wrapText="1"/>
    </xf>
    <xf numFmtId="0" fontId="5" fillId="0" borderId="0" xfId="1" applyFont="1" applyFill="1" applyAlignment="1">
      <alignment horizontal="left"/>
    </xf>
    <xf numFmtId="0" fontId="9" fillId="0" borderId="1" xfId="0" applyFont="1" applyBorder="1" applyAlignment="1">
      <alignment horizontal="center" vertical="center" wrapText="1"/>
    </xf>
    <xf numFmtId="0" fontId="7" fillId="0" borderId="2" xfId="0" applyFont="1" applyBorder="1" applyAlignment="1">
      <alignment horizontal="left" vertical="center" wrapText="1"/>
    </xf>
    <xf numFmtId="0" fontId="1" fillId="19" borderId="11" xfId="0" applyFont="1" applyFill="1" applyBorder="1" applyAlignment="1">
      <alignment horizontal="center" vertical="center" wrapText="1"/>
    </xf>
    <xf numFmtId="0" fontId="1" fillId="19" borderId="12" xfId="0" applyFont="1" applyFill="1" applyBorder="1" applyAlignment="1">
      <alignment horizontal="center" vertical="center" wrapText="1"/>
    </xf>
    <xf numFmtId="0" fontId="1" fillId="19" borderId="9" xfId="0" applyFont="1" applyFill="1" applyBorder="1" applyAlignment="1">
      <alignment horizontal="center" vertical="center" wrapText="1"/>
    </xf>
    <xf numFmtId="0" fontId="2" fillId="0" borderId="0" xfId="0" applyFont="1" applyAlignment="1">
      <alignment horizontal="center" vertical="top" wrapText="1"/>
    </xf>
    <xf numFmtId="0" fontId="7" fillId="0" borderId="1" xfId="0" applyFont="1" applyBorder="1" applyAlignment="1">
      <alignment horizontal="left" vertical="center"/>
    </xf>
    <xf numFmtId="0" fontId="9" fillId="0" borderId="13" xfId="0" applyFont="1" applyBorder="1" applyAlignment="1">
      <alignment horizontal="left" vertical="top" wrapText="1"/>
    </xf>
    <xf numFmtId="0" fontId="2" fillId="18" borderId="14" xfId="0" applyFont="1" applyFill="1" applyBorder="1" applyAlignment="1">
      <alignment horizontal="center" vertical="center" wrapText="1"/>
    </xf>
    <xf numFmtId="0" fontId="2" fillId="18" borderId="5" xfId="0" applyFont="1" applyFill="1" applyBorder="1" applyAlignment="1">
      <alignment horizontal="center" vertical="center" wrapText="1"/>
    </xf>
    <xf numFmtId="0" fontId="7" fillId="0" borderId="3" xfId="0" applyFont="1" applyBorder="1" applyAlignment="1">
      <alignment horizontal="left" vertical="center"/>
    </xf>
    <xf numFmtId="0" fontId="17" fillId="19" borderId="11" xfId="0" applyFont="1" applyFill="1" applyBorder="1" applyAlignment="1">
      <alignment horizontal="center" vertical="center" wrapText="1"/>
    </xf>
    <xf numFmtId="0" fontId="17" fillId="19" borderId="12" xfId="0" applyFont="1" applyFill="1" applyBorder="1" applyAlignment="1">
      <alignment horizontal="center" vertical="center" wrapText="1"/>
    </xf>
    <xf numFmtId="0" fontId="17" fillId="19" borderId="9" xfId="0" applyFont="1" applyFill="1" applyBorder="1" applyAlignment="1">
      <alignment horizontal="center" vertical="center" wrapText="1"/>
    </xf>
    <xf numFmtId="0" fontId="7" fillId="0" borderId="12" xfId="0" applyFont="1" applyBorder="1" applyAlignment="1">
      <alignment horizontal="center" vertical="center" wrapText="1"/>
    </xf>
    <xf numFmtId="0" fontId="7" fillId="0" borderId="2" xfId="0" applyFont="1" applyBorder="1" applyAlignment="1">
      <alignment horizontal="left" vertical="center"/>
    </xf>
    <xf numFmtId="0" fontId="7" fillId="0" borderId="3" xfId="0" applyFont="1" applyBorder="1" applyAlignment="1">
      <alignment horizontal="center" vertical="center" wrapText="1"/>
    </xf>
    <xf numFmtId="0" fontId="0" fillId="0" borderId="8" xfId="0" applyBorder="1" applyAlignment="1">
      <alignment horizontal="left" vertical="center" wrapText="1"/>
    </xf>
    <xf numFmtId="0" fontId="0" fillId="0" borderId="13" xfId="0" applyBorder="1" applyAlignment="1">
      <alignment horizontal="left" vertical="center" wrapText="1"/>
    </xf>
    <xf numFmtId="0" fontId="19" fillId="0" borderId="0" xfId="0" applyFont="1" applyAlignment="1">
      <alignment horizontal="center" vertical="center" wrapText="1"/>
    </xf>
    <xf numFmtId="0" fontId="13" fillId="22" borderId="18" xfId="0" applyFont="1" applyFill="1" applyBorder="1"/>
    <xf numFmtId="0" fontId="21" fillId="0" borderId="3" xfId="0" applyFont="1" applyBorder="1" applyAlignment="1">
      <alignment horizontal="left" vertical="center" wrapText="1"/>
    </xf>
    <xf numFmtId="0" fontId="7" fillId="0" borderId="8" xfId="0" applyFont="1" applyBorder="1" applyAlignment="1">
      <alignment horizontal="left" vertical="center" wrapText="1"/>
    </xf>
    <xf numFmtId="0" fontId="21" fillId="0" borderId="8" xfId="0" applyFont="1" applyBorder="1" applyAlignment="1">
      <alignment horizontal="left" vertical="center" wrapText="1"/>
    </xf>
    <xf numFmtId="0" fontId="15" fillId="14" borderId="5" xfId="0" applyFont="1" applyFill="1" applyBorder="1" applyAlignment="1">
      <alignment horizontal="center" vertical="center"/>
    </xf>
    <xf numFmtId="0" fontId="13" fillId="22" borderId="11" xfId="0" applyFont="1" applyFill="1" applyBorder="1" applyAlignment="1">
      <alignment horizontal="left" vertical="center"/>
    </xf>
    <xf numFmtId="0" fontId="13" fillId="22" borderId="12" xfId="0" applyFont="1" applyFill="1" applyBorder="1" applyAlignment="1">
      <alignment horizontal="left" vertical="center"/>
    </xf>
    <xf numFmtId="0" fontId="13" fillId="19" borderId="12" xfId="0" applyFont="1" applyFill="1" applyBorder="1" applyAlignment="1">
      <alignment horizontal="left" vertical="center"/>
    </xf>
    <xf numFmtId="0" fontId="13" fillId="22" borderId="9" xfId="0" applyFont="1" applyFill="1" applyBorder="1" applyAlignment="1">
      <alignment horizontal="left" vertical="center"/>
    </xf>
    <xf numFmtId="0" fontId="17" fillId="19" borderId="0" xfId="0" applyFont="1" applyFill="1" applyAlignment="1">
      <alignment horizontal="left" vertical="center"/>
    </xf>
    <xf numFmtId="0" fontId="17" fillId="19" borderId="5" xfId="0" applyFont="1" applyFill="1" applyBorder="1" applyAlignment="1">
      <alignment horizontal="left" vertical="center"/>
    </xf>
    <xf numFmtId="0" fontId="17" fillId="18" borderId="5" xfId="0" applyFont="1" applyFill="1" applyBorder="1" applyAlignment="1">
      <alignment horizontal="left" vertical="center"/>
    </xf>
    <xf numFmtId="0" fontId="9" fillId="0" borderId="8" xfId="0" applyFont="1" applyBorder="1" applyAlignment="1">
      <alignment horizontal="left" wrapText="1"/>
    </xf>
    <xf numFmtId="0" fontId="9" fillId="0" borderId="13" xfId="0" applyFont="1" applyBorder="1" applyAlignment="1">
      <alignment horizontal="left" wrapText="1"/>
    </xf>
    <xf numFmtId="0" fontId="9" fillId="0" borderId="6" xfId="0" applyFont="1" applyBorder="1" applyAlignment="1">
      <alignment horizontal="left" wrapText="1"/>
    </xf>
    <xf numFmtId="0" fontId="4" fillId="0" borderId="13" xfId="1" applyFill="1" applyBorder="1" applyAlignment="1">
      <alignment horizontal="left" wrapText="1"/>
    </xf>
    <xf numFmtId="0" fontId="0" fillId="0" borderId="1" xfId="0" applyBorder="1" applyAlignment="1">
      <alignment horizontal="left" vertical="center" wrapText="1"/>
    </xf>
    <xf numFmtId="0" fontId="26" fillId="0" borderId="13" xfId="0" applyFont="1" applyBorder="1" applyAlignment="1">
      <alignment horizontal="left" vertical="center" wrapText="1"/>
    </xf>
    <xf numFmtId="0" fontId="13" fillId="19" borderId="19" xfId="0" applyFont="1" applyFill="1" applyBorder="1" applyAlignment="1">
      <alignment horizontal="left" vertical="center"/>
    </xf>
    <xf numFmtId="0" fontId="13" fillId="18" borderId="20" xfId="0" applyFont="1" applyFill="1" applyBorder="1" applyAlignment="1">
      <alignment horizontal="left" vertical="center"/>
    </xf>
    <xf numFmtId="0" fontId="17" fillId="19" borderId="21" xfId="0" applyFont="1" applyFill="1" applyBorder="1" applyAlignment="1">
      <alignment wrapText="1"/>
    </xf>
    <xf numFmtId="0" fontId="17" fillId="19" borderId="22" xfId="0" applyFont="1" applyFill="1" applyBorder="1" applyAlignment="1">
      <alignment wrapText="1"/>
    </xf>
    <xf numFmtId="0" fontId="17" fillId="22" borderId="22" xfId="0" applyFont="1" applyFill="1" applyBorder="1" applyAlignment="1">
      <alignment wrapText="1"/>
    </xf>
    <xf numFmtId="0" fontId="17" fillId="19" borderId="23" xfId="0" applyFont="1" applyFill="1" applyBorder="1" applyAlignment="1">
      <alignment wrapText="1"/>
    </xf>
    <xf numFmtId="0" fontId="7" fillId="20" borderId="8" xfId="0" applyFont="1" applyFill="1" applyBorder="1" applyAlignment="1">
      <alignment horizontal="left" vertical="top" wrapText="1"/>
    </xf>
    <xf numFmtId="0" fontId="7" fillId="20" borderId="13" xfId="0" applyFont="1" applyFill="1" applyBorder="1" applyAlignment="1">
      <alignment horizontal="left" vertical="top" wrapText="1"/>
    </xf>
    <xf numFmtId="0" fontId="7" fillId="20" borderId="6" xfId="0" applyFont="1" applyFill="1" applyBorder="1" applyAlignment="1">
      <alignment horizontal="left" vertical="top" wrapText="1"/>
    </xf>
    <xf numFmtId="0" fontId="0" fillId="19" borderId="10" xfId="0" applyFill="1" applyBorder="1"/>
    <xf numFmtId="0" fontId="17" fillId="23" borderId="10" xfId="0" applyFont="1" applyFill="1" applyBorder="1" applyAlignment="1">
      <alignment wrapText="1"/>
    </xf>
    <xf numFmtId="0" fontId="27" fillId="0" borderId="1" xfId="0" applyFont="1" applyBorder="1" applyAlignment="1">
      <alignment horizontal="left" vertical="top" wrapText="1"/>
    </xf>
    <xf numFmtId="0" fontId="18" fillId="0" borderId="13" xfId="0" applyFont="1" applyBorder="1" applyAlignment="1">
      <alignment horizontal="left" vertical="center" wrapText="1"/>
    </xf>
    <xf numFmtId="0" fontId="27" fillId="0" borderId="1" xfId="0" applyFont="1" applyBorder="1" applyAlignment="1">
      <alignment vertical="top" wrapText="1"/>
    </xf>
    <xf numFmtId="0" fontId="2" fillId="3" borderId="1" xfId="0" applyFont="1" applyFill="1" applyBorder="1" applyAlignment="1">
      <alignment horizontal="left" wrapText="1"/>
    </xf>
    <xf numFmtId="0" fontId="1" fillId="10" borderId="1" xfId="0" applyFont="1" applyFill="1" applyBorder="1" applyAlignment="1">
      <alignment horizontal="center" wrapText="1"/>
    </xf>
    <xf numFmtId="0" fontId="0" fillId="0" borderId="5" xfId="0" applyBorder="1" applyAlignment="1">
      <alignment horizontal="left" vertical="top" wrapText="1"/>
    </xf>
    <xf numFmtId="0" fontId="0" fillId="0" borderId="0" xfId="0" applyAlignment="1">
      <alignment horizontal="left" vertical="top" wrapText="1"/>
    </xf>
    <xf numFmtId="0" fontId="6" fillId="6" borderId="0" xfId="1" applyFont="1" applyFill="1" applyAlignment="1">
      <alignment horizontal="left"/>
    </xf>
    <xf numFmtId="0" fontId="5" fillId="7" borderId="0" xfId="1" applyFont="1" applyFill="1" applyAlignment="1">
      <alignment horizontal="left"/>
    </xf>
    <xf numFmtId="0" fontId="7" fillId="0" borderId="1" xfId="0" applyFont="1" applyBorder="1" applyAlignment="1">
      <alignment horizontal="left" vertical="top" wrapText="1"/>
    </xf>
    <xf numFmtId="0" fontId="0" fillId="9" borderId="1" xfId="0" applyFill="1" applyBorder="1" applyAlignment="1">
      <alignment horizontal="center"/>
    </xf>
    <xf numFmtId="0" fontId="1" fillId="9" borderId="2" xfId="0" applyFont="1" applyFill="1" applyBorder="1" applyAlignment="1">
      <alignment horizontal="center" wrapText="1"/>
    </xf>
    <xf numFmtId="0" fontId="1" fillId="9" borderId="4" xfId="0" applyFont="1" applyFill="1" applyBorder="1" applyAlignment="1">
      <alignment horizontal="center" wrapText="1"/>
    </xf>
    <xf numFmtId="0" fontId="1" fillId="9" borderId="3" xfId="0" applyFont="1" applyFill="1" applyBorder="1" applyAlignment="1">
      <alignment horizontal="center" wrapText="1"/>
    </xf>
    <xf numFmtId="0" fontId="7" fillId="0" borderId="2" xfId="0" applyFont="1" applyBorder="1" applyAlignment="1">
      <alignment horizontal="left"/>
    </xf>
    <xf numFmtId="0" fontId="7" fillId="0" borderId="3" xfId="0" applyFont="1" applyBorder="1" applyAlignment="1">
      <alignment horizontal="left"/>
    </xf>
    <xf numFmtId="0" fontId="7" fillId="8" borderId="1" xfId="0" applyFont="1" applyFill="1" applyBorder="1" applyAlignment="1">
      <alignment horizontal="center"/>
    </xf>
    <xf numFmtId="0" fontId="7" fillId="7" borderId="1" xfId="0" applyFont="1" applyFill="1" applyBorder="1" applyAlignment="1">
      <alignment horizontal="left"/>
    </xf>
    <xf numFmtId="0" fontId="2" fillId="6" borderId="6" xfId="0" applyFont="1" applyFill="1" applyBorder="1" applyAlignment="1">
      <alignment horizontal="left"/>
    </xf>
    <xf numFmtId="0" fontId="2" fillId="6" borderId="7" xfId="0" applyFont="1" applyFill="1" applyBorder="1" applyAlignment="1">
      <alignment horizontal="left"/>
    </xf>
    <xf numFmtId="0" fontId="2" fillId="6" borderId="8" xfId="0" applyFont="1" applyFill="1" applyBorder="1" applyAlignment="1">
      <alignment horizontal="left"/>
    </xf>
    <xf numFmtId="0" fontId="1" fillId="7" borderId="1" xfId="0" applyFont="1" applyFill="1" applyBorder="1" applyAlignment="1">
      <alignment horizontal="center"/>
    </xf>
    <xf numFmtId="0" fontId="2" fillId="7"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3" xfId="0" applyFont="1" applyFill="1" applyBorder="1" applyAlignment="1">
      <alignment horizontal="center"/>
    </xf>
    <xf numFmtId="0" fontId="7" fillId="0" borderId="4" xfId="0" applyFont="1" applyBorder="1" applyAlignment="1">
      <alignment horizontal="left"/>
    </xf>
    <xf numFmtId="0" fontId="1" fillId="7" borderId="2" xfId="0" applyFont="1" applyFill="1" applyBorder="1" applyAlignment="1">
      <alignment horizontal="center"/>
    </xf>
    <xf numFmtId="0" fontId="1" fillId="7" borderId="4" xfId="0" applyFont="1" applyFill="1" applyBorder="1" applyAlignment="1">
      <alignment horizontal="center"/>
    </xf>
    <xf numFmtId="0" fontId="1" fillId="7" borderId="3" xfId="0" applyFont="1" applyFill="1" applyBorder="1" applyAlignment="1">
      <alignment horizontal="center"/>
    </xf>
    <xf numFmtId="0" fontId="1" fillId="4" borderId="2" xfId="0" applyFont="1" applyFill="1" applyBorder="1" applyAlignment="1">
      <alignment horizontal="left"/>
    </xf>
    <xf numFmtId="0" fontId="1" fillId="4" borderId="4" xfId="0" applyFont="1" applyFill="1" applyBorder="1" applyAlignment="1">
      <alignment horizontal="left"/>
    </xf>
    <xf numFmtId="0" fontId="1" fillId="4" borderId="3" xfId="0" applyFont="1" applyFill="1" applyBorder="1" applyAlignment="1">
      <alignment horizontal="left"/>
    </xf>
    <xf numFmtId="0" fontId="7" fillId="0" borderId="13" xfId="0" applyFont="1" applyBorder="1" applyAlignment="1">
      <alignment horizontal="center"/>
    </xf>
    <xf numFmtId="0" fontId="7" fillId="0" borderId="14" xfId="0" applyFont="1" applyBorder="1" applyAlignment="1">
      <alignment horizontal="center"/>
    </xf>
    <xf numFmtId="0" fontId="7" fillId="0" borderId="12" xfId="0" applyFont="1" applyBorder="1" applyAlignment="1">
      <alignment horizontal="center"/>
    </xf>
    <xf numFmtId="0" fontId="2" fillId="4" borderId="2" xfId="0" applyFont="1" applyFill="1" applyBorder="1" applyAlignment="1">
      <alignment horizontal="center"/>
    </xf>
    <xf numFmtId="0" fontId="2" fillId="4" borderId="4" xfId="0" applyFont="1" applyFill="1" applyBorder="1" applyAlignment="1">
      <alignment horizontal="center"/>
    </xf>
    <xf numFmtId="0" fontId="2" fillId="4" borderId="3" xfId="0" applyFont="1" applyFill="1" applyBorder="1" applyAlignment="1">
      <alignment horizontal="center"/>
    </xf>
    <xf numFmtId="0" fontId="2" fillId="6" borderId="2" xfId="0" applyFont="1" applyFill="1" applyBorder="1" applyAlignment="1">
      <alignment horizontal="center" wrapText="1"/>
    </xf>
    <xf numFmtId="0" fontId="2" fillId="6" borderId="4" xfId="0" applyFont="1" applyFill="1" applyBorder="1" applyAlignment="1">
      <alignment horizontal="center" wrapText="1"/>
    </xf>
    <xf numFmtId="0" fontId="2" fillId="6" borderId="3" xfId="0" applyFont="1" applyFill="1" applyBorder="1" applyAlignment="1">
      <alignment horizontal="center" wrapText="1"/>
    </xf>
    <xf numFmtId="0" fontId="20" fillId="21" borderId="0" xfId="0" applyFont="1" applyFill="1" applyAlignment="1">
      <alignment horizontal="left" vertical="top"/>
    </xf>
    <xf numFmtId="0" fontId="24" fillId="12" borderId="1" xfId="1" applyFont="1" applyFill="1" applyBorder="1" applyAlignment="1">
      <alignment horizontal="center" vertical="center"/>
    </xf>
    <xf numFmtId="0" fontId="3" fillId="12" borderId="1" xfId="1" applyFont="1" applyFill="1" applyBorder="1" applyAlignment="1">
      <alignment horizontal="center" vertical="center"/>
    </xf>
    <xf numFmtId="0" fontId="2" fillId="15" borderId="10" xfId="2" applyFont="1" applyBorder="1" applyAlignment="1">
      <alignment horizontal="center"/>
    </xf>
    <xf numFmtId="0" fontId="1" fillId="12" borderId="5" xfId="0" applyFont="1" applyFill="1" applyBorder="1" applyAlignment="1">
      <alignment horizontal="center" wrapText="1"/>
    </xf>
    <xf numFmtId="0" fontId="1" fillId="12" borderId="0" xfId="0" applyFont="1" applyFill="1" applyAlignment="1">
      <alignment horizontal="center" wrapText="1"/>
    </xf>
    <xf numFmtId="0" fontId="1" fillId="6" borderId="8" xfId="0" applyFont="1" applyFill="1" applyBorder="1" applyAlignment="1">
      <alignment horizontal="left" wrapText="1"/>
    </xf>
    <xf numFmtId="0" fontId="1" fillId="6" borderId="11" xfId="0" applyFont="1" applyFill="1" applyBorder="1" applyAlignment="1">
      <alignment horizontal="left" wrapText="1"/>
    </xf>
    <xf numFmtId="0" fontId="1" fillId="12" borderId="13" xfId="0" applyFont="1" applyFill="1" applyBorder="1" applyAlignment="1">
      <alignment horizontal="left" wrapText="1"/>
    </xf>
    <xf numFmtId="0" fontId="1" fillId="12" borderId="12" xfId="0" applyFont="1" applyFill="1" applyBorder="1" applyAlignment="1">
      <alignment horizontal="left" wrapText="1"/>
    </xf>
    <xf numFmtId="0" fontId="13" fillId="18" borderId="13" xfId="0" applyFont="1" applyFill="1" applyBorder="1" applyAlignment="1">
      <alignment horizontal="center" wrapText="1"/>
    </xf>
    <xf numFmtId="0" fontId="13" fillId="18" borderId="12" xfId="0" applyFont="1" applyFill="1" applyBorder="1" applyAlignment="1">
      <alignment horizontal="center" wrapText="1"/>
    </xf>
    <xf numFmtId="0" fontId="1" fillId="6" borderId="13" xfId="0" applyFont="1" applyFill="1" applyBorder="1" applyAlignment="1">
      <alignment horizontal="center" wrapText="1"/>
    </xf>
    <xf numFmtId="0" fontId="1" fillId="6" borderId="12" xfId="0" applyFont="1" applyFill="1" applyBorder="1" applyAlignment="1">
      <alignment horizontal="center" wrapText="1"/>
    </xf>
    <xf numFmtId="0" fontId="1" fillId="6" borderId="13" xfId="0" applyFont="1" applyFill="1" applyBorder="1" applyAlignment="1">
      <alignment horizontal="left" wrapText="1"/>
    </xf>
    <xf numFmtId="0" fontId="1" fillId="6" borderId="12" xfId="0" applyFont="1" applyFill="1" applyBorder="1" applyAlignment="1">
      <alignment horizontal="left" wrapText="1"/>
    </xf>
    <xf numFmtId="0" fontId="1" fillId="6" borderId="2" xfId="0" applyFont="1" applyFill="1" applyBorder="1" applyAlignment="1">
      <alignment horizontal="left" wrapText="1"/>
    </xf>
    <xf numFmtId="0" fontId="1" fillId="6" borderId="3" xfId="0" applyFont="1" applyFill="1" applyBorder="1" applyAlignment="1">
      <alignment horizontal="left" wrapText="1"/>
    </xf>
    <xf numFmtId="0" fontId="1" fillId="6" borderId="1" xfId="0" applyFont="1" applyFill="1" applyBorder="1" applyAlignment="1">
      <alignment horizontal="left" wrapText="1"/>
    </xf>
    <xf numFmtId="0" fontId="0" fillId="14" borderId="2" xfId="0" applyFill="1" applyBorder="1" applyAlignment="1">
      <alignment horizontal="center" vertical="top"/>
    </xf>
    <xf numFmtId="0" fontId="0" fillId="14" borderId="4" xfId="0" applyFill="1" applyBorder="1" applyAlignment="1">
      <alignment horizontal="center" vertical="top"/>
    </xf>
    <xf numFmtId="0" fontId="0" fillId="14" borderId="3" xfId="0" applyFill="1" applyBorder="1" applyAlignment="1">
      <alignment horizontal="center" vertical="top"/>
    </xf>
    <xf numFmtId="0" fontId="2" fillId="7" borderId="9" xfId="0" applyFont="1" applyFill="1" applyBorder="1" applyAlignment="1">
      <alignment horizontal="center"/>
    </xf>
    <xf numFmtId="0" fontId="2" fillId="7" borderId="10" xfId="0" applyFont="1" applyFill="1" applyBorder="1" applyAlignment="1">
      <alignment horizontal="center"/>
    </xf>
    <xf numFmtId="0" fontId="2" fillId="7" borderId="11" xfId="0" applyFont="1" applyFill="1" applyBorder="1" applyAlignment="1">
      <alignment horizontal="center"/>
    </xf>
    <xf numFmtId="0" fontId="2" fillId="11" borderId="9" xfId="0" applyFont="1" applyFill="1" applyBorder="1" applyAlignment="1">
      <alignment horizontal="center"/>
    </xf>
    <xf numFmtId="0" fontId="2" fillId="11" borderId="10" xfId="0" applyFont="1" applyFill="1" applyBorder="1" applyAlignment="1">
      <alignment horizontal="center"/>
    </xf>
    <xf numFmtId="0" fontId="5" fillId="5" borderId="0" xfId="1" applyFont="1" applyFill="1" applyAlignment="1">
      <alignment horizontal="left"/>
    </xf>
    <xf numFmtId="0" fontId="1" fillId="6" borderId="5" xfId="0" applyFont="1" applyFill="1" applyBorder="1" applyAlignment="1">
      <alignment horizontal="left"/>
    </xf>
    <xf numFmtId="0" fontId="1" fillId="6" borderId="0" xfId="0" applyFont="1" applyFill="1" applyAlignment="1">
      <alignment horizontal="left"/>
    </xf>
    <xf numFmtId="0" fontId="1" fillId="7" borderId="1" xfId="0" applyFont="1" applyFill="1" applyBorder="1" applyAlignment="1">
      <alignment horizontal="left"/>
    </xf>
    <xf numFmtId="0" fontId="2" fillId="4" borderId="1" xfId="0" applyFont="1" applyFill="1" applyBorder="1" applyAlignment="1">
      <alignment horizontal="left"/>
    </xf>
    <xf numFmtId="0" fontId="2" fillId="2" borderId="1" xfId="0" applyFont="1" applyFill="1" applyBorder="1" applyAlignment="1">
      <alignment horizontal="left"/>
    </xf>
    <xf numFmtId="0" fontId="1" fillId="2" borderId="2" xfId="0" applyFont="1" applyFill="1" applyBorder="1" applyAlignment="1">
      <alignment horizontal="left"/>
    </xf>
    <xf numFmtId="0" fontId="1" fillId="2" borderId="4" xfId="0" applyFont="1" applyFill="1" applyBorder="1" applyAlignment="1">
      <alignment horizontal="left"/>
    </xf>
    <xf numFmtId="0" fontId="1" fillId="2" borderId="3" xfId="0" applyFont="1" applyFill="1" applyBorder="1" applyAlignment="1">
      <alignment horizontal="left"/>
    </xf>
    <xf numFmtId="0" fontId="1" fillId="5" borderId="2" xfId="0" applyFont="1" applyFill="1" applyBorder="1"/>
    <xf numFmtId="0" fontId="1" fillId="5" borderId="4" xfId="0" applyFont="1" applyFill="1" applyBorder="1"/>
    <xf numFmtId="0" fontId="1" fillId="5" borderId="3" xfId="0" applyFont="1" applyFill="1" applyBorder="1"/>
    <xf numFmtId="0" fontId="6" fillId="6" borderId="0" xfId="1" applyFont="1" applyFill="1" applyAlignment="1">
      <alignment horizontal="center"/>
    </xf>
    <xf numFmtId="0" fontId="2" fillId="9" borderId="2" xfId="0" applyFont="1" applyFill="1" applyBorder="1" applyAlignment="1">
      <alignment horizontal="center" wrapText="1"/>
    </xf>
    <xf numFmtId="0" fontId="2" fillId="9" borderId="3" xfId="0" applyFont="1" applyFill="1" applyBorder="1" applyAlignment="1">
      <alignment horizontal="center" wrapText="1"/>
    </xf>
    <xf numFmtId="0" fontId="2" fillId="12" borderId="2" xfId="0" applyFont="1" applyFill="1" applyBorder="1" applyAlignment="1">
      <alignment horizontal="center" wrapText="1"/>
    </xf>
    <xf numFmtId="0" fontId="2" fillId="12" borderId="4" xfId="0" applyFont="1" applyFill="1" applyBorder="1" applyAlignment="1">
      <alignment horizontal="center" wrapText="1"/>
    </xf>
    <xf numFmtId="0" fontId="2" fillId="12" borderId="3" xfId="0" applyFont="1" applyFill="1" applyBorder="1" applyAlignment="1">
      <alignment horizontal="center" wrapText="1"/>
    </xf>
    <xf numFmtId="0" fontId="2" fillId="12" borderId="6" xfId="0" applyFont="1" applyFill="1" applyBorder="1" applyAlignment="1">
      <alignment horizontal="center" wrapText="1"/>
    </xf>
    <xf numFmtId="0" fontId="2" fillId="12" borderId="7" xfId="0" applyFont="1" applyFill="1" applyBorder="1" applyAlignment="1">
      <alignment horizontal="center" wrapText="1"/>
    </xf>
    <xf numFmtId="0" fontId="2" fillId="12" borderId="8" xfId="0" applyFont="1" applyFill="1" applyBorder="1" applyAlignment="1">
      <alignment horizontal="center" wrapText="1"/>
    </xf>
    <xf numFmtId="0" fontId="2" fillId="9" borderId="1" xfId="0" applyFont="1" applyFill="1" applyBorder="1" applyAlignment="1">
      <alignment horizontal="center" wrapText="1"/>
    </xf>
    <xf numFmtId="0" fontId="15" fillId="14" borderId="1" xfId="0" applyFont="1" applyFill="1" applyBorder="1" applyAlignment="1">
      <alignment horizontal="center" vertical="center"/>
    </xf>
    <xf numFmtId="0" fontId="15" fillId="14" borderId="13" xfId="0" applyFont="1" applyFill="1" applyBorder="1" applyAlignment="1">
      <alignment horizontal="center" vertical="center"/>
    </xf>
    <xf numFmtId="0" fontId="15" fillId="14" borderId="5" xfId="0" applyFont="1" applyFill="1" applyBorder="1" applyAlignment="1">
      <alignment horizontal="center" vertical="center"/>
    </xf>
    <xf numFmtId="0" fontId="15" fillId="14" borderId="0" xfId="0" applyFont="1" applyFill="1" applyAlignment="1">
      <alignment horizontal="center" vertical="center"/>
    </xf>
    <xf numFmtId="0" fontId="3" fillId="6" borderId="0" xfId="0" applyFont="1" applyFill="1" applyAlignment="1">
      <alignment horizontal="left"/>
    </xf>
    <xf numFmtId="0" fontId="3" fillId="7" borderId="0" xfId="0" applyFont="1" applyFill="1" applyAlignment="1">
      <alignment horizontal="left"/>
    </xf>
    <xf numFmtId="0" fontId="15" fillId="14" borderId="2" xfId="0" applyFont="1" applyFill="1" applyBorder="1" applyAlignment="1">
      <alignment horizontal="center" vertical="center"/>
    </xf>
    <xf numFmtId="0" fontId="15" fillId="14" borderId="4" xfId="0" applyFont="1" applyFill="1" applyBorder="1" applyAlignment="1">
      <alignment horizontal="center" vertical="center"/>
    </xf>
    <xf numFmtId="0" fontId="15" fillId="14" borderId="8" xfId="0" applyFont="1" applyFill="1" applyBorder="1" applyAlignment="1">
      <alignment horizontal="center" vertical="center"/>
    </xf>
  </cellXfs>
  <cellStyles count="3">
    <cellStyle name="20% - Accent1" xfId="2" builtinId="30"/>
    <cellStyle name="Hyperlink" xfId="1" builtinId="8"/>
    <cellStyle name="Normal" xfId="0" builtinId="0"/>
  </cellStyles>
  <dxfs count="345">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indexed="64"/>
        </top>
      </border>
    </dxf>
    <dxf>
      <border outline="0">
        <top style="thin">
          <color theme="4" tint="0.39997558519241921"/>
        </top>
      </border>
    </dxf>
    <dxf>
      <border outline="0">
        <top style="thin">
          <color indexed="64"/>
        </top>
        <bottom style="thin">
          <color theme="4" tint="0.39997558519241921"/>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patternFill>
      </fill>
    </dxf>
    <dxf>
      <font>
        <b val="0"/>
        <i val="0"/>
        <strike val="0"/>
        <condense val="0"/>
        <extend val="0"/>
        <outline val="0"/>
        <shadow val="0"/>
        <u val="none"/>
        <vertAlign val="baseline"/>
        <sz val="11"/>
        <color theme="1"/>
        <name val="Calibri"/>
        <scheme val="minor"/>
      </font>
      <border diagonalUp="0" diagonalDown="0">
        <left style="thin">
          <color theme="4" tint="0.39997558519241921"/>
        </left>
        <right style="thin">
          <color theme="4" tint="0.39997558519241921"/>
        </right>
        <top style="thin">
          <color theme="4" tint="0.39997558519241921"/>
        </top>
        <bottom style="thin">
          <color theme="4" tint="0.39997558519241921"/>
        </bottom>
        <vertical/>
        <horizontal/>
      </border>
    </dxf>
    <dxf>
      <border outline="0">
        <top style="thin">
          <color theme="4" tint="0.39997558519241921"/>
        </top>
      </border>
    </dxf>
    <dxf>
      <border outline="0">
        <top style="thin">
          <color indexed="64"/>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theme="3"/>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theme="3"/>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theme="3"/>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border outline="0">
        <bottom style="thin">
          <color indexed="64"/>
        </bottom>
      </border>
    </dxf>
    <dxf>
      <font>
        <b/>
        <i val="0"/>
        <strike val="0"/>
        <condense val="0"/>
        <extend val="0"/>
        <outline val="0"/>
        <shadow val="0"/>
        <u val="none"/>
        <vertAlign val="baseline"/>
        <sz val="12"/>
        <color theme="1"/>
        <name val="Calibri"/>
        <scheme val="minor"/>
      </font>
      <fill>
        <patternFill patternType="solid">
          <fgColor indexed="64"/>
          <bgColor theme="3"/>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general"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bottom style="thin">
          <color indexed="64"/>
        </bottom>
      </border>
    </dxf>
    <dxf>
      <fill>
        <patternFill patternType="solid">
          <fgColor indexed="64"/>
          <bgColor theme="3"/>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b/>
        <i val="0"/>
        <strike val="0"/>
        <condense val="0"/>
        <extend val="0"/>
        <outline val="0"/>
        <shadow val="0"/>
        <u val="none"/>
        <vertAlign val="baseline"/>
        <sz val="12"/>
        <color theme="1"/>
        <name val="Calibri"/>
        <scheme val="minor"/>
      </font>
      <fill>
        <patternFill patternType="solid">
          <fgColor indexed="64"/>
          <bgColor theme="8"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111111"/>
        <name val="Calibri"/>
        <scheme val="minor"/>
      </font>
      <alignment horizontal="general"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solid">
          <fgColor indexed="64"/>
          <bgColor theme="0"/>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solid">
          <fgColor indexed="64"/>
          <bgColor theme="0"/>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Calibri"/>
        <scheme val="minor"/>
      </font>
      <numFmt numFmtId="164" formatCode="0.0"/>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111111"/>
        <name val="Calibri"/>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111111"/>
        <name val="Calibri"/>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solid">
          <fgColor indexed="64"/>
          <bgColor theme="0"/>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solid">
          <fgColor indexed="64"/>
          <bgColor theme="0"/>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solid">
          <fgColor indexed="64"/>
          <bgColor theme="0"/>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Calibri"/>
        <scheme val="minor"/>
      </font>
    </dxf>
    <dxf>
      <border>
        <bottom style="thin">
          <color indexed="64"/>
        </bottom>
      </border>
    </dxf>
    <dxf>
      <font>
        <b/>
        <i val="0"/>
        <strike val="0"/>
        <condense val="0"/>
        <extend val="0"/>
        <outline val="0"/>
        <shadow val="0"/>
        <u val="none"/>
        <vertAlign val="baseline"/>
        <sz val="12"/>
        <color theme="1"/>
        <name val="Calibri"/>
        <scheme val="minor"/>
      </font>
      <fill>
        <patternFill patternType="solid">
          <fgColor indexed="64"/>
          <bgColor theme="3"/>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3"/>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right style="thin">
          <color indexed="64"/>
        </right>
        <top style="thin">
          <color indexed="64"/>
        </top>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bottom" textRotation="0" indent="0"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alibri"/>
        <scheme val="minor"/>
      </font>
      <alignment horizontal="left" vertical="bottom"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solid">
          <fgColor indexed="64"/>
          <bgColor theme="3" tint="0.59999389629810485"/>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i val="0"/>
        <strike val="0"/>
        <condense val="0"/>
        <extend val="0"/>
        <outline val="0"/>
        <shadow val="0"/>
        <u val="none"/>
        <vertAlign val="baseline"/>
        <sz val="12"/>
        <color theme="1"/>
        <name val="Calibri"/>
        <scheme val="minor"/>
      </font>
      <fill>
        <patternFill patternType="solid">
          <fgColor indexed="64"/>
          <bgColor theme="3" tint="0.59999389629810485"/>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none"/>
      </font>
      <fill>
        <patternFill patternType="none">
          <fgColor rgb="FF000000"/>
          <bgColor rgb="FFFFFFFF"/>
        </patternFill>
      </fill>
      <alignment horizontal="left"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1"/>
        <color theme="1"/>
        <name val="Calibri"/>
        <family val="2"/>
        <scheme val="minor"/>
      </font>
      <fill>
        <patternFill patternType="solid">
          <fgColor indexed="64"/>
          <bgColor theme="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i val="0"/>
        <strike val="0"/>
        <condense val="0"/>
        <extend val="0"/>
        <outline val="0"/>
        <shadow val="0"/>
        <u val="none"/>
        <vertAlign val="baseline"/>
        <sz val="12"/>
        <color theme="1"/>
        <name val="Calibri"/>
        <scheme val="minor"/>
      </font>
      <fill>
        <patternFill patternType="solid">
          <fgColor indexed="64"/>
          <bgColor theme="3"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theme="1"/>
        <name val="Calibri"/>
        <family val="2"/>
        <scheme val="minor"/>
      </font>
      <fill>
        <patternFill patternType="none">
          <fgColor indexed="64"/>
          <bgColor auto="1"/>
        </patternFill>
      </fill>
      <alignmen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family val="2"/>
        <scheme val="minor"/>
      </font>
      <fill>
        <patternFill patternType="none">
          <fgColor indexed="64"/>
          <bgColor auto="1"/>
        </patternFill>
      </fill>
      <alignment vertical="center"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family val="2"/>
        <scheme val="minor"/>
      </font>
      <fill>
        <patternFill patternType="none">
          <fgColor indexed="64"/>
          <bgColor auto="1"/>
        </patternFill>
      </fill>
      <alignment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theme="4" tint="0.39997558519241921"/>
        </bottom>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top"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bottom"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bottom" textRotation="0" wrapText="1"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bottom"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center"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Body)"/>
        <scheme val="minor"/>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center"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Body)"/>
        <scheme val="minor"/>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center"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Body)"/>
        <scheme val="minor"/>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center"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Body)"/>
        <scheme val="minor"/>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center"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Body)"/>
        <scheme val="minor"/>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none"/>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Body)"/>
        <scheme val="none"/>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center"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Body)"/>
        <scheme val="minor"/>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center"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Body)"/>
        <scheme val="minor"/>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Body)"/>
        <scheme val="minor"/>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Body)"/>
        <scheme val="minor"/>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rgb="FF000000"/>
        </left>
        <right style="thin">
          <color indexed="64"/>
        </right>
        <top style="thin">
          <color rgb="FF000000"/>
        </top>
        <bottom style="thin">
          <color indexed="64"/>
        </bottom>
      </border>
    </dxf>
    <dxf>
      <font>
        <b val="0"/>
        <i val="0"/>
        <strike val="0"/>
        <condense val="0"/>
        <extend val="0"/>
        <outline val="0"/>
        <shadow val="0"/>
        <u val="none"/>
        <vertAlign val="baseline"/>
        <sz val="10"/>
        <color theme="1"/>
        <name val="Calibri (Body)"/>
        <scheme val="minor"/>
      </font>
      <fill>
        <patternFill patternType="none">
          <fgColor indexed="64"/>
          <bgColor auto="1"/>
        </patternFill>
      </fill>
      <alignment horizontal="left" vertical="top" textRotation="0" wrapText="1"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left" vertical="center"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rgb="FF000000"/>
        </top>
      </border>
    </dxf>
    <dxf>
      <alignment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border>
        <bottom style="thin">
          <color indexed="64"/>
        </bottom>
      </border>
    </dxf>
    <dxf>
      <font>
        <b/>
        <i val="0"/>
        <strike val="0"/>
        <condense val="0"/>
        <extend val="0"/>
        <outline val="0"/>
        <shadow val="0"/>
        <u val="none"/>
        <vertAlign val="baseline"/>
        <sz val="12"/>
        <color theme="1"/>
        <name val="Calibri"/>
        <scheme val="minor"/>
      </font>
      <fill>
        <patternFill patternType="solid">
          <fgColor indexed="64"/>
          <bgColor theme="3" tint="0.59999389629810485"/>
        </patternFill>
      </fill>
      <alignment horizontal="general"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font>
        <b/>
        <i val="0"/>
        <strike val="0"/>
        <condense val="0"/>
        <extend val="0"/>
        <outline val="0"/>
        <shadow val="0"/>
        <u val="none"/>
        <vertAlign val="baseline"/>
        <sz val="11"/>
        <color theme="1"/>
        <name val="Calibri"/>
        <scheme val="minor"/>
      </font>
      <fill>
        <patternFill patternType="solid">
          <fgColor indexed="64"/>
          <bgColor theme="3" tint="0.59999389629810485"/>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indexed="64"/>
        </right>
        <top style="thin">
          <color indexed="64"/>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dxf>
    <dxf>
      <font>
        <b/>
        <i val="0"/>
        <strike val="0"/>
        <condense val="0"/>
        <extend val="0"/>
        <outline val="0"/>
        <shadow val="0"/>
        <u val="none"/>
        <vertAlign val="baseline"/>
        <sz val="12"/>
        <color theme="1"/>
        <name val="Calibri"/>
        <scheme val="minor"/>
      </font>
      <fill>
        <patternFill patternType="solid">
          <fgColor indexed="64"/>
          <bgColor rgb="FFB2E8B7"/>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i val="0"/>
        <strike val="0"/>
        <condense val="0"/>
        <extend val="0"/>
        <outline val="0"/>
        <shadow val="0"/>
        <u val="none"/>
        <vertAlign val="baseline"/>
        <sz val="12"/>
        <color theme="1"/>
        <name val="Calibri"/>
        <scheme val="minor"/>
      </font>
      <fill>
        <patternFill patternType="solid">
          <fgColor indexed="64"/>
          <bgColor theme="3"/>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i val="0"/>
        <strike val="0"/>
        <condense val="0"/>
        <extend val="0"/>
        <outline val="0"/>
        <shadow val="0"/>
        <u val="none"/>
        <vertAlign val="baseline"/>
        <sz val="12"/>
        <color theme="1"/>
        <name val="Calibri"/>
        <scheme val="minor"/>
      </font>
      <fill>
        <patternFill patternType="solid">
          <fgColor indexed="64"/>
          <bgColor theme="3"/>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b/>
        <i val="0"/>
        <strike val="0"/>
        <condense val="0"/>
        <extend val="0"/>
        <outline val="0"/>
        <shadow val="0"/>
        <u val="none"/>
        <vertAlign val="baseline"/>
        <sz val="12"/>
        <color theme="1"/>
        <name val="Calibri"/>
        <scheme val="minor"/>
      </font>
      <fill>
        <patternFill patternType="solid">
          <fgColor indexed="64"/>
          <bgColor theme="3"/>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scheme val="minor"/>
      </font>
      <fill>
        <patternFill patternType="solid">
          <fgColor indexed="64"/>
          <bgColor theme="3"/>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3"/>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general"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scheme val="minor"/>
      </font>
      <fill>
        <patternFill patternType="solid">
          <fgColor indexed="64"/>
          <bgColor theme="3"/>
        </patternFill>
      </fill>
      <alignment horizontal="general"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81D989"/>
      <color rgb="FFB2E8B7"/>
      <color rgb="FF99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3</xdr:row>
          <xdr:rowOff>101600</xdr:rowOff>
        </xdr:from>
        <xdr:to>
          <xdr:col>2</xdr:col>
          <xdr:colOff>584200</xdr:colOff>
          <xdr:row>4</xdr:row>
          <xdr:rowOff>177800</xdr:rowOff>
        </xdr:to>
        <xdr:sp macro="" textlink="">
          <xdr:nvSpPr>
            <xdr:cNvPr id="136193" name="Generate Tests" descr="Generate Tests" hidden="1">
              <a:extLst>
                <a:ext uri="{63B3BB69-23CF-44E3-9099-C40C66FF867C}">
                  <a14:compatExt spid="_x0000_s136193"/>
                </a:ext>
                <a:ext uri="{FF2B5EF4-FFF2-40B4-BE49-F238E27FC236}">
                  <a16:creationId xmlns:a16="http://schemas.microsoft.com/office/drawing/2014/main" id="{00000000-0008-0000-1300-000001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Generate Tests</a:t>
              </a:r>
            </a:p>
          </xdr:txBody>
        </xdr:sp>
        <xdr:clientData fPrintsWithSheet="0"/>
      </xdr:twoCellAnchor>
    </mc:Choice>
    <mc:Fallback/>
  </mc:AlternateContent>
  <xdr:twoCellAnchor>
    <xdr:from>
      <xdr:col>3</xdr:col>
      <xdr:colOff>0</xdr:colOff>
      <xdr:row>3</xdr:row>
      <xdr:rowOff>119529</xdr:rowOff>
    </xdr:from>
    <xdr:to>
      <xdr:col>4</xdr:col>
      <xdr:colOff>544606</xdr:colOff>
      <xdr:row>4</xdr:row>
      <xdr:rowOff>112805</xdr:rowOff>
    </xdr:to>
    <xdr:sp macro="" textlink="">
      <xdr:nvSpPr>
        <xdr:cNvPr id="2" name="Rounded Rectangle 1">
          <a:extLst>
            <a:ext uri="{FF2B5EF4-FFF2-40B4-BE49-F238E27FC236}">
              <a16:creationId xmlns:a16="http://schemas.microsoft.com/office/drawing/2014/main" id="{00000000-0008-0000-1300-000002000000}"/>
            </a:ext>
            <a:ext uri="{6ECC49D1-AA05-4338-93AA-15A1B29DFB0A}">
              <asl:scriptLink xmlns:asl="http://schemas.microsoft.com/office/drawing/2021/scriptlink" val="{&quot;shareId&quot;:&quot;ms-officescript%3A%2F%2Fonedrive_business_sharinglink%2Fu!aHR0cHM6Ly91bGlzYm9hLW15LnNoYXJlcG9pbnQuY29tLzp1Oi9nL3BlcnNvbmFsL2lzdDQyNjAwMV90ZWNuaWNvX3VsaXNib2FfcHQvRWJIVnpvNWRvbjVLcnkxdEtWSC13NmdCc1VmYWk4ODFoLUhCNl90NUNNRUFzZw&quot;}"/>
            </a:ext>
          </a:extLst>
        </xdr:cNvPr>
        <xdr:cNvSpPr/>
      </xdr:nvSpPr>
      <xdr:spPr>
        <a:xfrm>
          <a:off x="2584824" y="896470"/>
          <a:ext cx="1739900" cy="292100"/>
        </a:xfrm>
        <a:prstGeom prst="roundRect">
          <a:avLst/>
        </a:prstGeom>
        <a:solidFill>
          <a:srgbClr val="107C41"/>
        </a:solidFill>
        <a:ln w="25400" cap="flat" cmpd="sng" algn="ctr">
          <a:solidFill>
            <a:schemeClr val="accent1">
              <a:shade val="50000"/>
            </a:schemeClr>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a:t>Generate Test Scripts</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ela5" displayName="Tabela5" ref="A6:D8" totalsRowShown="0" headerRowDxfId="344" headerRowBorderDxfId="343" tableBorderDxfId="342" totalsRowBorderDxfId="341">
  <autoFilter ref="A6:D8" xr:uid="{00000000-0009-0000-0100-000005000000}"/>
  <tableColumns count="4">
    <tableColumn id="1" xr3:uid="{00000000-0010-0000-0000-000001000000}" name="Id (*)" dataDxfId="340"/>
    <tableColumn id="2" xr3:uid="{00000000-0010-0000-0000-000002000000}" name="Name (*)" dataDxfId="339"/>
    <tableColumn id="3" xr3:uid="{00000000-0010-0000-0000-000003000000}" name="Type (*)" dataDxfId="338"/>
    <tableColumn id="4" xr3:uid="{00000000-0010-0000-0000-000004000000}" name="Description" dataDxfId="3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Stakeholder" displayName="TStakeholder" ref="A6:G7" insertRow="1" totalsRowShown="0" headerRowDxfId="336" dataDxfId="334" headerRowBorderDxfId="335" tableBorderDxfId="333" totalsRowBorderDxfId="332">
  <autoFilter ref="A6:G7" xr:uid="{00000000-0009-0000-0100-000007000000}"/>
  <tableColumns count="7">
    <tableColumn id="1" xr3:uid="{00000000-0010-0000-0100-000001000000}" name="Id (*)" dataDxfId="331"/>
    <tableColumn id="2" xr3:uid="{00000000-0010-0000-0100-000002000000}" name="Name (*)" dataDxfId="330"/>
    <tableColumn id="3" xr3:uid="{00000000-0010-0000-0100-000003000000}" name="Type  (*)" dataDxfId="329"/>
    <tableColumn id="4" xr3:uid="{00000000-0010-0000-0100-000004000000}" name="SubType" dataDxfId="328"/>
    <tableColumn id="5" xr3:uid="{00000000-0010-0000-0100-000005000000}" name="IsA" dataDxfId="327"/>
    <tableColumn id="6" xr3:uid="{00000000-0010-0000-0100-000006000000}" name="PartOf" dataDxfId="326"/>
    <tableColumn id="7" xr3:uid="{00000000-0010-0000-0100-000007000000}" name="Description" dataDxfId="3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2000000}" name="TActor" displayName="TActor" ref="A7:G8" totalsRowShown="0" headerRowDxfId="324" dataDxfId="322" headerRowBorderDxfId="323" tableBorderDxfId="321" totalsRowBorderDxfId="320">
  <autoFilter ref="A7:G8" xr:uid="{00000000-0009-0000-0100-000013000000}"/>
  <tableColumns count="7">
    <tableColumn id="1" xr3:uid="{00000000-0010-0000-0200-000001000000}" name="Id (*)" dataDxfId="319"/>
    <tableColumn id="2" xr3:uid="{00000000-0010-0000-0200-000002000000}" name="Name (*)" dataDxfId="318"/>
    <tableColumn id="7" xr3:uid="{BF43DB08-1580-D546-8D7C-FD85099DE552}" name="Data Entity" dataDxfId="317"/>
    <tableColumn id="3" xr3:uid="{00000000-0010-0000-0200-000003000000}" name="Type (*)" dataDxfId="316"/>
    <tableColumn id="4" xr3:uid="{00000000-0010-0000-0200-000004000000}" name="IsA" dataDxfId="315"/>
    <tableColumn id="5" xr3:uid="{00000000-0010-0000-0200-000005000000}" name="Stakeholder" dataDxfId="314"/>
    <tableColumn id="6" xr3:uid="{00000000-0010-0000-0200-000006000000}" name="Description" dataDxfId="3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TActiveTask" displayName="TActiveTask" ref="A6:G14" totalsRowShown="0" headerRowDxfId="312" dataDxfId="311" tableBorderDxfId="310">
  <autoFilter ref="A6:G14" xr:uid="{00000000-0009-0000-0100-00000A000000}"/>
  <tableColumns count="7">
    <tableColumn id="1" xr3:uid="{00000000-0010-0000-0300-000001000000}" name="Id (*)" dataDxfId="309"/>
    <tableColumn id="2" xr3:uid="{00000000-0010-0000-0300-000002000000}" name="Name (*)" dataDxfId="308"/>
    <tableColumn id="3" xr3:uid="{00000000-0010-0000-0300-000003000000}" name="Type (*)" dataDxfId="307"/>
    <tableColumn id="4" xr3:uid="{00000000-0010-0000-0300-000004000000}" name="Participant" dataDxfId="306"/>
    <tableColumn id="5" xr3:uid="{00000000-0010-0000-0300-000005000000}" name="Participant (external)" dataDxfId="305"/>
    <tableColumn id="6" xr3:uid="{00000000-0010-0000-0300-000006000000}" name="PartOf" dataDxfId="304"/>
    <tableColumn id="7" xr3:uid="{00000000-0010-0000-0300-000007000000}" name="Description" dataDxfId="30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ctiveEvent" displayName="TActiveEvent" ref="A6:G17" totalsRowShown="0" headerRowDxfId="302" dataDxfId="301" tableBorderDxfId="300">
  <autoFilter ref="A6:G17" xr:uid="{00000000-0009-0000-0100-000009000000}"/>
  <tableColumns count="7">
    <tableColumn id="1" xr3:uid="{00000000-0010-0000-0400-000001000000}" name="Id (*)" dataDxfId="299"/>
    <tableColumn id="2" xr3:uid="{00000000-0010-0000-0400-000002000000}" name="Name (*)" dataDxfId="298"/>
    <tableColumn id="3" xr3:uid="{00000000-0010-0000-0400-000003000000}" name="Type (*)" dataDxfId="297"/>
    <tableColumn id="4" xr3:uid="{00000000-0010-0000-0400-000004000000}" name="isInitial" dataDxfId="296"/>
    <tableColumn id="5" xr3:uid="{00000000-0010-0000-0400-000005000000}" name="isFinal" dataDxfId="295"/>
    <tableColumn id="6" xr3:uid="{00000000-0010-0000-0400-000006000000}" name="Participant" dataDxfId="294"/>
    <tableColumn id="7" xr3:uid="{00000000-0010-0000-0400-000007000000}" name="Description" dataDxfId="29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TActiveFlow" displayName="TActiveFlow" ref="A6:E17" totalsRowShown="0" headerRowDxfId="292" dataDxfId="291" tableBorderDxfId="290">
  <autoFilter ref="A6:E17" xr:uid="{00000000-0009-0000-0100-00000B000000}"/>
  <tableColumns count="5">
    <tableColumn id="1" xr3:uid="{00000000-0010-0000-0500-000001000000}" name="Id (*)" dataDxfId="289"/>
    <tableColumn id="2" xr3:uid="{00000000-0010-0000-0500-000002000000}" name="Type (*)" dataDxfId="288"/>
    <tableColumn id="3" xr3:uid="{00000000-0010-0000-0500-000003000000}" name="Condition" dataDxfId="287"/>
    <tableColumn id="4" xr3:uid="{00000000-0010-0000-0500-000004000000}" name="Active Elements" dataDxfId="286"/>
    <tableColumn id="5" xr3:uid="{00000000-0010-0000-0500-000005000000}" name="Description" dataDxfId="28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00000000-000C-0000-FFFF-FFFF07000000}" name="TDataEntityCluster" displayName="TDataEntityCluster" ref="A8:G13" totalsRowShown="0" headerRowDxfId="284" dataDxfId="283" tableBorderDxfId="282">
  <autoFilter ref="A8:G13" xr:uid="{00000000-0009-0000-0100-00005F000000}"/>
  <tableColumns count="7">
    <tableColumn id="1" xr3:uid="{00000000-0010-0000-0700-000001000000}" name="Id (*)" dataDxfId="281"/>
    <tableColumn id="2" xr3:uid="{00000000-0010-0000-0700-000002000000}" name="Name (*)" dataDxfId="280"/>
    <tableColumn id="3" xr3:uid="{00000000-0010-0000-0700-000003000000}" name="Type (*)" dataDxfId="279"/>
    <tableColumn id="4" xr3:uid="{00000000-0010-0000-0700-000004000000}" name="Master (*)" dataDxfId="278"/>
    <tableColumn id="5" xr3:uid="{00000000-0010-0000-0700-000005000000}" name="Detail" dataDxfId="277"/>
    <tableColumn id="6" xr3:uid="{00000000-0010-0000-0700-000006000000}" name="Reference(s)" dataDxfId="276"/>
    <tableColumn id="7" xr3:uid="{00000000-0010-0000-0700-000007000000}" name="Description" dataDxfId="27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8000000}" name="TGoal" displayName="TGoal" ref="A7:K13" totalsRowShown="0" headerRowDxfId="274" dataDxfId="273" tableBorderDxfId="272">
  <autoFilter ref="A7:K13" xr:uid="{00000000-0009-0000-0100-00001C000000}"/>
  <tableColumns count="11">
    <tableColumn id="1" xr3:uid="{00000000-0010-0000-0800-000001000000}" name="Id (*)" dataDxfId="271"/>
    <tableColumn id="2" xr3:uid="{00000000-0010-0000-0800-000002000000}" name="Name (*)" dataDxfId="270"/>
    <tableColumn id="3" xr3:uid="{00000000-0010-0000-0800-000003000000}" name="Type (*)" dataDxfId="269"/>
    <tableColumn id="4" xr3:uid="{00000000-0010-0000-0800-000004000000}" name="SubType" dataDxfId="268"/>
    <tableColumn id="5" xr3:uid="{00000000-0010-0000-0800-000005000000}" name="Is Positive" dataDxfId="267"/>
    <tableColumn id="6" xr3:uid="{00000000-0010-0000-0800-000006000000}" name="Is Abstract" dataDxfId="266"/>
    <tableColumn id="7" xr3:uid="{00000000-0010-0000-0800-000007000000}" name="Is Problem" dataDxfId="265"/>
    <tableColumn id="8" xr3:uid="{00000000-0010-0000-0800-000008000000}" name="Source (Stakeholder)" dataDxfId="264"/>
    <tableColumn id="9" xr3:uid="{00000000-0010-0000-0800-000009000000}" name="PartOf " dataDxfId="263"/>
    <tableColumn id="10" xr3:uid="{00000000-0010-0000-0800-00000A000000}" name="Description" dataDxfId="262"/>
    <tableColumn id="11" xr3:uid="{00000000-0010-0000-0800-00000B000000}" name="Priority" dataDxfId="2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9000000}" name="TFR" displayName="TFR" ref="A7:J13" totalsRowShown="0" headerRowDxfId="260" dataDxfId="258" headerRowBorderDxfId="259" tableBorderDxfId="257" totalsRowBorderDxfId="256">
  <autoFilter ref="A7:J13" xr:uid="{00000000-0009-0000-0100-000016000000}"/>
  <tableColumns count="10">
    <tableColumn id="1" xr3:uid="{00000000-0010-0000-0900-000001000000}" name="Id (*)" dataDxfId="255"/>
    <tableColumn id="2" xr3:uid="{00000000-0010-0000-0900-000002000000}" name="Name (*)" dataDxfId="254"/>
    <tableColumn id="3" xr3:uid="{00000000-0010-0000-0900-000003000000}" name="Type (*)" dataDxfId="253"/>
    <tableColumn id="8" xr3:uid="{00000000-0010-0000-0900-000008000000}" name="Is Positive" dataDxfId="252"/>
    <tableColumn id="9" xr3:uid="{00000000-0010-0000-0900-000009000000}" name="Is Abstract" dataDxfId="251"/>
    <tableColumn id="10" xr3:uid="{00000000-0010-0000-0900-00000A000000}" name="Is Problem" dataDxfId="250"/>
    <tableColumn id="4" xr3:uid="{00000000-0010-0000-0900-000004000000}" name="Source (Stakeholder)" dataDxfId="249"/>
    <tableColumn id="5" xr3:uid="{00000000-0010-0000-0900-000005000000}" name="PartOf" dataDxfId="248"/>
    <tableColumn id="6" xr3:uid="{00000000-0010-0000-0900-000006000000}" name="Description" dataDxfId="247"/>
    <tableColumn id="7" xr3:uid="{00000000-0010-0000-0900-000007000000}" name="Priority" dataDxfId="24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EDD969-9C75-884B-A9E9-2B7F9B5E76A5}" name="Table30" displayName="Table30" ref="A5:H10" totalsRowShown="0" dataDxfId="244" headerRowBorderDxfId="245" tableBorderDxfId="243">
  <autoFilter ref="A5:H10" xr:uid="{87EDD969-9C75-884B-A9E9-2B7F9B5E76A5}"/>
  <tableColumns count="8">
    <tableColumn id="1" xr3:uid="{9C2CA476-B048-CC43-BAFB-186AB13FAFB7}" name="Id" dataDxfId="242"/>
    <tableColumn id="2" xr3:uid="{AC42EFAC-D805-6148-BBEB-21DCF7C75AFB}" name="Data Entity Name" dataDxfId="241"/>
    <tableColumn id="3" xr3:uid="{D4DD9676-4CB0-164F-A08E-AC1893B893B7}" name="Description" dataDxfId="240"/>
    <tableColumn id="4" xr3:uid="{EE05183D-B8FD-3D49-87D2-0E89BBCE6BCC}" name="Category" dataDxfId="239"/>
    <tableColumn id="5" xr3:uid="{D4DC700F-2643-C24E-8B9A-DA8FC793365F}" name="Type (*)" dataDxfId="238"/>
    <tableColumn id="6" xr3:uid="{87968FA2-7995-9640-A710-EFE3AD39837F}" name="Main (*)" dataDxfId="237"/>
    <tableColumn id="7" xr3:uid="{162837B5-D77D-3541-AE3F-E8CE3A11B364}" name="Children" dataDxfId="236"/>
    <tableColumn id="8" xr3:uid="{C12849D9-958B-B34E-8636-0F9CDF8A8D0D}" name="Uses" dataDxfId="23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731B81B-4661-BE48-840C-ECB702917013}" name="T_DataEntity" displayName="T_DataEntity" ref="A5:J25" headerRowDxfId="234" dataDxfId="233" tableBorderDxfId="232">
  <autoFilter ref="A5:J25" xr:uid="{F731B81B-4661-BE48-840C-ECB702917013}"/>
  <tableColumns count="10">
    <tableColumn id="1" xr3:uid="{0B1F3958-C946-5F45-937C-930961D800FF}" name="Id (*)" totalsRowLabel="Total" dataDxfId="231" totalsRowDxfId="230"/>
    <tableColumn id="2" xr3:uid="{777DDB49-74EA-B14E-93D2-6251BAB6D974}" name="isA" dataDxfId="229" totalsRowDxfId="228"/>
    <tableColumn id="3" xr3:uid="{553172F4-5192-4349-B91F-2EFE2B04F3EE}" name="Attribute" dataDxfId="227" totalsRowDxfId="226"/>
    <tableColumn id="4" xr3:uid="{9ED7726F-43BD-054B-A275-E454FA5A1270}" name="Type" dataDxfId="225" totalsRowDxfId="224"/>
    <tableColumn id="5" xr3:uid="{1F553906-6B92-244A-8CA3-3F06C8FD2C93}" name="Description" dataDxfId="223" totalsRowDxfId="222"/>
    <tableColumn id="6" xr3:uid="{D5DC57B6-218F-9946-A34F-158CBB6DE77F}" name="isReadOnly" dataDxfId="221" totalsRowDxfId="220"/>
    <tableColumn id="7" xr3:uid="{2A2D7117-8B41-A04B-AC83-DB784E07F655}" name="isEncrypted" dataDxfId="219" totalsRowDxfId="218"/>
    <tableColumn id="8" xr3:uid="{973D36AB-9960-2C47-A183-5AC28DCA3D98}" name="Constraints" dataDxfId="217" totalsRowDxfId="216"/>
    <tableColumn id="9" xr3:uid="{B7D4A3FC-56C3-2249-A0C7-92DC77A381FB}" name="Foreign Key Data Entity" dataDxfId="215" totalsRowDxfId="214"/>
    <tableColumn id="10" xr3:uid="{1274269E-9C42-5B4A-905A-4FD571ACC5D0}" name="Regex Rule" dataDxfId="213" totalsRowDxfId="21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B4A1F1-1843-1844-9113-FAB6BE0C36CE}" name="T_DataEntitiesValues" displayName="T_DataEntitiesValues" ref="A5:F25" totalsRowShown="0" headerRowDxfId="211" dataDxfId="209" headerRowBorderDxfId="210" tableBorderDxfId="208" totalsRowBorderDxfId="207">
  <autoFilter ref="A5:F25" xr:uid="{73B4A1F1-1843-1844-9113-FAB6BE0C36CE}"/>
  <sortState xmlns:xlrd2="http://schemas.microsoft.com/office/spreadsheetml/2017/richdata2" ref="A6:F7">
    <sortCondition ref="C5:C7"/>
  </sortState>
  <tableColumns count="6">
    <tableColumn id="1" xr3:uid="{72FB9051-8FA7-AC4D-A0CA-69E822B14C58}" name="Id (*)" dataDxfId="206"/>
    <tableColumn id="2" xr3:uid="{7EE3BF61-82C7-B14A-ABA1-E0EB6B028D60}" name="Data Entity Id" dataDxfId="205"/>
    <tableColumn id="3" xr3:uid="{F096E56F-8E18-214C-AB28-1F44A78734DC}" name="Attribute" dataDxfId="204"/>
    <tableColumn id="4" xr3:uid="{51FC6D20-E904-E646-AB9E-02871893E83C}" name="Type" dataDxfId="203">
      <calculatedColumnFormula>VLOOKUP(T_DataEntitiesValues[[#This Row],[Attribute]],Object.DataEntityAttributes!$C$1:$D$10004,2,FALSE)</calculatedColumnFormula>
    </tableColumn>
    <tableColumn id="5" xr3:uid="{C0E901D8-1CE0-0F4D-BEA3-797A4DF06462}" name="Value" dataDxfId="202"/>
    <tableColumn id="6" xr3:uid="{FABD5C77-78B8-744E-9957-37F8B3ADE11F}" name="IsValid?" dataDxfId="20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FE06A6F-FA59-E442-8AB7-F3BEF3679A82}" name="Table31" displayName="Table31" ref="A5:G6" totalsRowShown="0" headerRowDxfId="200" dataDxfId="198" headerRowBorderDxfId="199" tableBorderDxfId="197" totalsRowBorderDxfId="196">
  <autoFilter ref="A5:G6" xr:uid="{7FE06A6F-FA59-E442-8AB7-F3BEF3679A82}"/>
  <tableColumns count="7">
    <tableColumn id="1" xr3:uid="{6E774D4E-CEE4-C94D-8A19-5DCB112827AD}" name="Id (*)" dataDxfId="195"/>
    <tableColumn id="2" xr3:uid="{159C2987-78F5-6D4B-8DD4-30E7B6A6DE26}" name="Name (*)" dataDxfId="194"/>
    <tableColumn id="3" xr3:uid="{569D439D-016E-444E-94FA-36A71F10453C}" name="Type (*)" dataDxfId="193"/>
    <tableColumn id="4" xr3:uid="{E6B9E489-AD3B-EC43-BB39-1E7B6886204F}" name="Main" dataDxfId="192"/>
    <tableColumn id="5" xr3:uid="{F37886D8-AF57-B64C-ADBD-EE94B80B747C}" name="Children" dataDxfId="191"/>
    <tableColumn id="6" xr3:uid="{8D0FF9E0-D77E-5442-97D3-2F1D0E5636C4}" name="Uses" dataDxfId="190"/>
    <tableColumn id="7" xr3:uid="{CDEB96BD-49C2-0C48-9392-09B0E02742AA}" name="Description" dataDxfId="18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95334EC-8E94-484A-A32A-806A84EE03EC}" name="Table20" displayName="Table20" ref="A6:C7" totalsRowShown="0" headerRowDxfId="188" dataDxfId="186" headerRowBorderDxfId="187" tableBorderDxfId="185" totalsRowBorderDxfId="184">
  <autoFilter ref="A6:C7" xr:uid="{D95334EC-8E94-484A-A32A-806A84EE03EC}"/>
  <tableColumns count="3">
    <tableColumn id="1" xr3:uid="{2D6E951C-F8A1-7D41-96D3-9F11F66ED302}" name="Id (*)" dataDxfId="183"/>
    <tableColumn id="2" xr3:uid="{CB7B5ADD-CDB2-F449-8186-145AEC2D55AF}" name="Name (*)" dataDxfId="182"/>
    <tableColumn id="3" xr3:uid="{3E4B8A2B-110A-1243-AAAA-F7F0DB54AE77}" name="Description" dataDxfId="18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D000000}" name="TUserStory" displayName="TUserStory" ref="A6:Q9" totalsRowShown="0" headerRowDxfId="180" dataDxfId="179" tableBorderDxfId="178">
  <autoFilter ref="A6:Q9" xr:uid="{00000000-0009-0000-0100-00001A000000}"/>
  <tableColumns count="17">
    <tableColumn id="1" xr3:uid="{00000000-0010-0000-0D00-000001000000}" name="Id (*)" dataDxfId="177"/>
    <tableColumn id="2" xr3:uid="{00000000-0010-0000-0D00-000002000000}" name="Name (*)" dataDxfId="176"/>
    <tableColumn id="3" xr3:uid="{00000000-0010-0000-0D00-000003000000}" name="Type (*)" dataDxfId="175"/>
    <tableColumn id="23" xr3:uid="{2DEA4D66-B85D-D746-A784-B20619E7BC34}" name="Part Of" dataDxfId="174"/>
    <tableColumn id="13" xr3:uid="{00000000-0010-0000-0D00-00000D000000}" name="Is Positive" dataDxfId="173"/>
    <tableColumn id="12" xr3:uid="{00000000-0010-0000-0D00-00000C000000}" name="Is Abstract" dataDxfId="172"/>
    <tableColumn id="11" xr3:uid="{00000000-0010-0000-0D00-00000B000000}" name="Is Problem" dataDxfId="171"/>
    <tableColumn id="10" xr3:uid="{00000000-0010-0000-0D00-00000A000000}" name="Source (Stakeholder)" dataDxfId="170"/>
    <tableColumn id="4" xr3:uid="{00000000-0010-0000-0D00-000004000000}" name="Actor (*)" dataDxfId="169"/>
    <tableColumn id="5" xr3:uid="{00000000-0010-0000-0D00-000005000000}" name="Goal (*)" dataDxfId="168"/>
    <tableColumn id="6" xr3:uid="{00000000-0010-0000-0D00-000006000000}" name="Reason" dataDxfId="167"/>
    <tableColumn id="19" xr3:uid="{EBF4DA4F-3A1B-9A43-B357-C8DA2BFBE479}" name="Data Entity ID" dataDxfId="166"/>
    <tableColumn id="18" xr3:uid="{FC92D8CB-8819-F549-9556-C7A2A6B58281}" name="Operation Type" dataDxfId="165"/>
    <tableColumn id="14" xr3:uid="{43C0F3F7-F629-3241-A793-7F401CE6AD04}" name="Theme" dataDxfId="164"/>
    <tableColumn id="15" xr3:uid="{6486CC64-207C-C540-9D7E-E6F86487470E}" name="QRs" dataDxfId="163"/>
    <tableColumn id="8" xr3:uid="{00000000-0010-0000-0D00-000008000000}" name="Description" dataDxfId="162"/>
    <tableColumn id="9" xr3:uid="{00000000-0010-0000-0D00-000009000000}" name="Priority" dataDxfId="16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CBAE829-945E-C24B-BC73-99796A387BFF}" name="TblAcceptanceCriteria" displayName="TblAcceptanceCriteria" ref="A7:M8" totalsRowShown="0" headerRowDxfId="160" dataDxfId="158" headerRowBorderDxfId="159" tableBorderDxfId="157" totalsRowBorderDxfId="156">
  <autoFilter ref="A7:M8" xr:uid="{40973D39-E385-D248-ACCA-32183F37A85B}"/>
  <tableColumns count="13">
    <tableColumn id="1" xr3:uid="{63C8AC05-2BD2-8046-B490-9DABF1381557}" name="Id (*)" dataDxfId="155"/>
    <tableColumn id="11" xr3:uid="{1470C8C8-A43E-DC44-8FC8-AA62285155A7}" name="partOf" dataDxfId="154"/>
    <tableColumn id="2" xr3:uid="{19652F0D-4674-F74E-8E61-10BAE23F9947}" name="User Story Id" dataDxfId="153"/>
    <tableColumn id="3" xr3:uid="{9A4D96BB-81A8-5943-A691-0F8DCFA72B96}" name="User Story" dataDxfId="152">
      <calculatedColumnFormula>VLOOKUP($C8,'R.UserStories'!$A$6:$B$983,2,FALSE)</calculatedColumnFormula>
    </tableColumn>
    <tableColumn id="12" xr3:uid="{DE83C462-A843-3E4F-A562-03C2F5901730}" name="Acceptance Criteria Name" dataDxfId="151"/>
    <tableColumn id="4" xr3:uid="{60817466-19E6-4347-9BB3-FDC1AE6F445C}" name="Data Entity" dataDxfId="150"/>
    <tableColumn id="13" xr3:uid="{B80A4EBA-630B-3741-8DB9-B0DBE282946D}" name="Data Entity value" dataDxfId="149"/>
    <tableColumn id="14" xr3:uid="{E29D819E-8846-5346-8705-F503848AE3E8}" name="To Generate" dataDxfId="148"/>
    <tableColumn id="5" xr3:uid="{15815FEF-017E-8748-8902-39DC1CEE6F9A}" name="Actor" dataDxfId="147"/>
    <tableColumn id="6" xr3:uid="{9713E8F2-E0DA-5B4A-AAB7-D0CE494EC17F}" name="Given That" dataDxfId="146"/>
    <tableColumn id="7" xr3:uid="{76480EED-D8A8-F84F-BC80-8B5BFA6C1501}" name="When" dataDxfId="145"/>
    <tableColumn id="8" xr3:uid="{09F831A4-E356-1F40-9C27-0A864EFFCDC0}" name="Then" dataDxfId="144"/>
    <tableColumn id="9" xr3:uid="{1DD3DE05-59B6-B647-A94B-4FBEF741965C}" name="Scenario Type" dataDxfId="14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A000000}" name="TQR" displayName="TQR" ref="A8:N9" insertRow="1" totalsRowShown="0" headerRowDxfId="142" dataDxfId="141" tableBorderDxfId="140">
  <autoFilter ref="A8:N9" xr:uid="{00000000-0009-0000-0100-000018000000}"/>
  <tableColumns count="14">
    <tableColumn id="1" xr3:uid="{00000000-0010-0000-0A00-000001000000}" name="Id (*)" dataDxfId="139"/>
    <tableColumn id="2" xr3:uid="{00000000-0010-0000-0A00-000002000000}" name="Name (*)" dataDxfId="138"/>
    <tableColumn id="3" xr3:uid="{00000000-0010-0000-0A00-000003000000}" name="Type (*)" dataDxfId="137"/>
    <tableColumn id="4" xr3:uid="{00000000-0010-0000-0A00-000004000000}" name="Sub-Type" dataDxfId="136"/>
    <tableColumn id="12" xr3:uid="{00000000-0010-0000-0A00-00000C000000}" name="Is Positive" dataDxfId="135"/>
    <tableColumn id="13" xr3:uid="{00000000-0010-0000-0A00-00000D000000}" name="Is Abstract" dataDxfId="134"/>
    <tableColumn id="14" xr3:uid="{00000000-0010-0000-0A00-00000E000000}" name="Is Problem" dataDxfId="133"/>
    <tableColumn id="5" xr3:uid="{00000000-0010-0000-0A00-000005000000}" name="Op" dataDxfId="132"/>
    <tableColumn id="6" xr3:uid="{00000000-0010-0000-0A00-000006000000}" name="Value" dataDxfId="131"/>
    <tableColumn id="7" xr3:uid="{00000000-0010-0000-0A00-000007000000}" name="Metric" dataDxfId="130"/>
    <tableColumn id="8" xr3:uid="{00000000-0010-0000-0A00-000008000000}" name="Source (Stakeholder)" dataDxfId="129"/>
    <tableColumn id="9" xr3:uid="{00000000-0010-0000-0A00-000009000000}" name="PartOf" dataDxfId="128"/>
    <tableColumn id="10" xr3:uid="{00000000-0010-0000-0A00-00000A000000}" name="Description" dataDxfId="127"/>
    <tableColumn id="11" xr3:uid="{00000000-0010-0000-0A00-00000B000000}" name="Priority" dataDxfId="12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B000000}" name="TConstraint" displayName="TConstraint" ref="A7:K16" totalsRowShown="0" headerRowDxfId="125" tableBorderDxfId="124">
  <autoFilter ref="A7:K16" xr:uid="{00000000-0009-0000-0100-000019000000}"/>
  <tableColumns count="11">
    <tableColumn id="1" xr3:uid="{00000000-0010-0000-0B00-000001000000}" name="Id (*)" dataDxfId="123"/>
    <tableColumn id="2" xr3:uid="{00000000-0010-0000-0B00-000002000000}" name="Name (*)" dataDxfId="122"/>
    <tableColumn id="3" xr3:uid="{00000000-0010-0000-0B00-000003000000}" name="Type (*)" dataDxfId="121"/>
    <tableColumn id="4" xr3:uid="{00000000-0010-0000-0B00-000004000000}" name="SubType " dataDxfId="120"/>
    <tableColumn id="9" xr3:uid="{00000000-0010-0000-0B00-000009000000}" name="Is Positive" dataDxfId="119"/>
    <tableColumn id="10" xr3:uid="{00000000-0010-0000-0B00-00000A000000}" name="Is Abstract" dataDxfId="118"/>
    <tableColumn id="11" xr3:uid="{00000000-0010-0000-0B00-00000B000000}" name="Is Problem" dataDxfId="117"/>
    <tableColumn id="5" xr3:uid="{00000000-0010-0000-0B00-000005000000}" name="Source (Stakeholder)" dataDxfId="116"/>
    <tableColumn id="6" xr3:uid="{00000000-0010-0000-0B00-000006000000}" name="PartOf" dataDxfId="115"/>
    <tableColumn id="7" xr3:uid="{00000000-0010-0000-0B00-000007000000}" name="Description" dataDxfId="114"/>
    <tableColumn id="8" xr3:uid="{00000000-0010-0000-0B00-000008000000}" name="Priority" dataDxfId="11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0000000-000C-0000-FFFF-FFFF0C000000}" name="TUseCase" displayName="TUseCase" ref="A8:M13" totalsRowShown="0" headerRowDxfId="112" dataDxfId="111" tableBorderDxfId="110">
  <autoFilter ref="A8:M13" xr:uid="{00000000-0009-0000-0100-00005C000000}"/>
  <tableColumns count="13">
    <tableColumn id="1" xr3:uid="{00000000-0010-0000-0C00-000001000000}" name="Id (*)" dataDxfId="109"/>
    <tableColumn id="2" xr3:uid="{00000000-0010-0000-0C00-000002000000}" name="Name (*)" dataDxfId="108"/>
    <tableColumn id="3" xr3:uid="{00000000-0010-0000-0C00-000003000000}" name="Type (*)" dataDxfId="107"/>
    <tableColumn id="4" xr3:uid="{00000000-0010-0000-0C00-000004000000}" name="Is Positive" dataDxfId="106"/>
    <tableColumn id="5" xr3:uid="{00000000-0010-0000-0C00-000005000000}" name="Is Abstract" dataDxfId="105"/>
    <tableColumn id="6" xr3:uid="{00000000-0010-0000-0C00-000006000000}" name="Is Problem" dataDxfId="104"/>
    <tableColumn id="7" xr3:uid="{00000000-0010-0000-0C00-000007000000}" name="Source (Stakeholder)" dataDxfId="103"/>
    <tableColumn id="8" xr3:uid="{00000000-0010-0000-0C00-000008000000}" name="DataEntity Cluster" dataDxfId="102"/>
    <tableColumn id="9" xr3:uid="{00000000-0010-0000-0C00-000009000000}" name="Initiates (*)" dataDxfId="101"/>
    <tableColumn id="10" xr3:uid="{00000000-0010-0000-0C00-00000A000000}" name="Participates" dataDxfId="100"/>
    <tableColumn id="11" xr3:uid="{00000000-0010-0000-0C00-00000B000000}" name="Actions" dataDxfId="99"/>
    <tableColumn id="12" xr3:uid="{00000000-0010-0000-0C00-00000C000000}" name="Description" dataDxfId="98"/>
    <tableColumn id="13" xr3:uid="{00000000-0010-0000-0C00-00000D000000}" name="Priority" dataDxfId="9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E000000}" name="TGlossaryTerm" displayName="TGlossaryTerm" ref="A6:H11" totalsRowShown="0" headerRowDxfId="96" dataDxfId="94" headerRowBorderDxfId="95" tableBorderDxfId="93" totalsRowBorderDxfId="92">
  <autoFilter ref="A6:H11" xr:uid="{00000000-0009-0000-0100-000006000000}"/>
  <tableColumns count="8">
    <tableColumn id="1" xr3:uid="{00000000-0010-0000-0E00-000001000000}" name="Id (*)" dataDxfId="91"/>
    <tableColumn id="2" xr3:uid="{00000000-0010-0000-0E00-000002000000}" name="Name (*)" dataDxfId="90"/>
    <tableColumn id="3" xr3:uid="{00000000-0010-0000-0E00-000003000000}" name="Type (*)" dataDxfId="89"/>
    <tableColumn id="4" xr3:uid="{00000000-0010-0000-0E00-000004000000}" name="ApplicableTo" dataDxfId="88"/>
    <tableColumn id="5" xr3:uid="{00000000-0010-0000-0E00-000005000000}" name="Acronym" dataDxfId="87"/>
    <tableColumn id="6" xr3:uid="{00000000-0010-0000-0E00-000006000000}" name="Synonym" dataDxfId="86"/>
    <tableColumn id="7" xr3:uid="{00000000-0010-0000-0E00-000007000000}" name="Hypernym (IsA)" dataDxfId="85"/>
    <tableColumn id="8" xr3:uid="{00000000-0010-0000-0E00-000008000000}" name="Description" dataDxfId="8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F000000}" name="TVulnerability" displayName="TVulnerability" ref="A7:J15" totalsRowShown="0" headerRowDxfId="83" dataDxfId="81" headerRowBorderDxfId="82" tableBorderDxfId="80" totalsRowBorderDxfId="79">
  <autoFilter ref="A7:J15" xr:uid="{00000000-0009-0000-0100-000017000000}"/>
  <tableColumns count="10">
    <tableColumn id="1" xr3:uid="{00000000-0010-0000-0F00-000001000000}" name="Id (*)" dataDxfId="78"/>
    <tableColumn id="2" xr3:uid="{00000000-0010-0000-0F00-000002000000}" name="Name (*)" dataDxfId="77"/>
    <tableColumn id="13" xr3:uid="{00000000-0010-0000-0F00-00000D000000}" name="SubType" dataDxfId="76"/>
    <tableColumn id="3" xr3:uid="{00000000-0010-0000-0F00-000003000000}" name="Type (*)2" dataDxfId="75"/>
    <tableColumn id="4" xr3:uid="{00000000-0010-0000-0F00-000004000000}" name="Attack" dataDxfId="74"/>
    <tableColumn id="14" xr3:uid="{00000000-0010-0000-0F00-00000E000000}" name="Attack Vector" dataDxfId="73"/>
    <tableColumn id="5" xr3:uid="{00000000-0010-0000-0F00-000005000000}" name="Vulnerability score" dataDxfId="72"/>
    <tableColumn id="6" xr3:uid="{00000000-0010-0000-0F00-000006000000}" name="IsA" dataDxfId="71"/>
    <tableColumn id="7" xr3:uid="{00000000-0010-0000-0F00-000007000000}" name="PartOf " dataDxfId="70"/>
    <tableColumn id="8" xr3:uid="{00000000-0010-0000-0F00-000008000000}" name="Description" dataDxfId="6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8:F20" totalsRowShown="0" headerRowDxfId="68" dataDxfId="67" tableBorderDxfId="66">
  <autoFilter ref="A8:F20" xr:uid="{00000000-0009-0000-0100-00000E000000}"/>
  <tableColumns count="6">
    <tableColumn id="1" xr3:uid="{00000000-0010-0000-1000-000001000000}" name="Id" dataDxfId="65"/>
    <tableColumn id="2" xr3:uid="{00000000-0010-0000-1000-000002000000}" name="Name" dataDxfId="64"/>
    <tableColumn id="3" xr3:uid="{00000000-0010-0000-1000-000003000000}" name="Id2" dataDxfId="63"/>
    <tableColumn id="4" xr3:uid="{00000000-0010-0000-1000-000004000000}" name="Name2" dataDxfId="62"/>
    <tableColumn id="5" xr3:uid="{00000000-0010-0000-1000-000005000000}" name="Type (*)" dataDxfId="61"/>
    <tableColumn id="6" xr3:uid="{00000000-0010-0000-1000-000006000000}" name="Description" dataDxfId="6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1000000}" name="Tabela16" displayName="Tabela16" ref="A7:E18" totalsRowShown="0" headerRowDxfId="59" tableBorderDxfId="58">
  <autoFilter ref="A7:E18" xr:uid="{00000000-0009-0000-0100-000010000000}"/>
  <tableColumns count="5">
    <tableColumn id="1" xr3:uid="{00000000-0010-0000-1100-000001000000}" name="Source (*)" dataDxfId="57"/>
    <tableColumn id="2" xr3:uid="{00000000-0010-0000-1100-000002000000}" name="Target (*)" dataDxfId="56"/>
    <tableColumn id="3" xr3:uid="{00000000-0010-0000-1100-000003000000}" name=" Type (*)" dataDxfId="55"/>
    <tableColumn id="4" xr3:uid="{00000000-0010-0000-1100-000004000000}" name="Category (*)" dataDxfId="54"/>
    <tableColumn id="5" xr3:uid="{00000000-0010-0000-1100-000005000000}" name="Description" dataDxfId="5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2000000}" name="Tabela27" displayName="Tabela27" ref="A9:F16" totalsRowShown="0" headerRowDxfId="52" dataDxfId="50" headerRowBorderDxfId="51" tableBorderDxfId="49" totalsRowBorderDxfId="48">
  <autoFilter ref="A9:F16" xr:uid="{00000000-0009-0000-0100-00001B000000}"/>
  <tableColumns count="6">
    <tableColumn id="1" xr3:uid="{00000000-0010-0000-1200-000001000000}" name="Id" dataDxfId="47"/>
    <tableColumn id="2" xr3:uid="{00000000-0010-0000-1200-000002000000}" name="Name" dataDxfId="46"/>
    <tableColumn id="3" xr3:uid="{00000000-0010-0000-1200-000003000000}" name="Id2" dataDxfId="45"/>
    <tableColumn id="4" xr3:uid="{00000000-0010-0000-1200-000004000000}" name="Name3" dataDxfId="44"/>
    <tableColumn id="5" xr3:uid="{00000000-0010-0000-1200-000005000000}" name="Type (*)" dataDxfId="43"/>
    <tableColumn id="6" xr3:uid="{00000000-0010-0000-1200-000006000000}" name="Description" dataDxfId="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3000000}" name="TProjectType" displayName="TProjectType" ref="A6:A13" totalsRowShown="0" headerRowDxfId="41" headerRowBorderDxfId="40" tableBorderDxfId="39">
  <autoFilter ref="A6:A13" xr:uid="{00000000-0009-0000-0100-000002000000}"/>
  <tableColumns count="1">
    <tableColumn id="1" xr3:uid="{00000000-0010-0000-1300-000001000000}" name="ProjectType"/>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4000000}" name="TApplicationDomain" displayName="TApplicationDomain" ref="B6:B13" totalsRowShown="0" headerRowDxfId="38" headerRowBorderDxfId="37" tableBorderDxfId="36">
  <autoFilter ref="B6:B13" xr:uid="{00000000-0009-0000-0100-000003000000}"/>
  <tableColumns count="1">
    <tableColumn id="1" xr3:uid="{00000000-0010-0000-1400-000001000000}" name="ApplicationDomai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5000000}" name="TProgressState" displayName="TProgressState" ref="C6:C13" totalsRowShown="0" headerRowDxfId="35" headerRowBorderDxfId="34" tableBorderDxfId="33">
  <autoFilter ref="C6:C13" xr:uid="{00000000-0009-0000-0100-000004000000}"/>
  <tableColumns count="1">
    <tableColumn id="1" xr3:uid="{00000000-0010-0000-1500-000001000000}" name="ProgressState"/>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6000000}" name="TRelationalOperator" displayName="TRelationalOperator" ref="F6:F12" totalsRowShown="0" headerRowDxfId="32" dataDxfId="30" headerRowBorderDxfId="31" tableBorderDxfId="29" totalsRowBorderDxfId="28">
  <autoFilter ref="F6:F12" xr:uid="{00000000-0009-0000-0100-00000C000000}"/>
  <tableColumns count="1">
    <tableColumn id="1" xr3:uid="{00000000-0010-0000-1600-000001000000}" name="RelationalOperator" dataDxfId="2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7000000}" name="TGlossaryTermType" displayName="TGlossaryTermType" ref="K6:K10" totalsRowShown="0">
  <autoFilter ref="K6:K10" xr:uid="{00000000-0009-0000-0100-000012000000}"/>
  <tableColumns count="1">
    <tableColumn id="1" xr3:uid="{00000000-0010-0000-1700-000001000000}" name="GlossaryTermType"/>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8000000}" name="TTermApplicableTo" displayName="TTermApplicableTo" ref="L6:L11" totalsRowShown="0">
  <autoFilter ref="L6:L11" xr:uid="{00000000-0009-0000-0100-000015000000}"/>
  <tableColumns count="1">
    <tableColumn id="1" xr3:uid="{00000000-0010-0000-1800-000001000000}" name="TermApplicableTo"/>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9000000}" name="TPriorityType" displayName="TPriorityType" ref="D6:D11" totalsRowShown="0">
  <autoFilter ref="D6:D11" xr:uid="{00000000-0009-0000-0100-000021000000}"/>
  <tableColumns count="1">
    <tableColumn id="1" xr3:uid="{00000000-0010-0000-1900-000001000000}" name="PriorityType"/>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A000000}" name="TBoolean" displayName="TBoolean" ref="E6:E8" totalsRowShown="0" headerRowDxfId="26" headerRowBorderDxfId="25" tableBorderDxfId="24" totalsRowBorderDxfId="23">
  <autoFilter ref="E6:E8" xr:uid="{00000000-0009-0000-0100-000008000000}"/>
  <tableColumns count="1">
    <tableColumn id="1" xr3:uid="{00000000-0010-0000-1A00-000001000000}" name="Boolea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B000000}" name="TRelationType" displayName="TRelationType" ref="H6:H13" totalsRowShown="0">
  <autoFilter ref="H6:H13" xr:uid="{00000000-0009-0000-0100-000022000000}"/>
  <tableColumns count="1">
    <tableColumn id="1" xr3:uid="{00000000-0010-0000-1B00-000001000000}" name="RelationType"/>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C000000}" name="TActiveEventType" displayName="TActiveEventType" ref="N6:N15" totalsRowShown="0">
  <autoFilter ref="N6:N15" xr:uid="{00000000-0009-0000-0100-000026000000}"/>
  <tableColumns count="1">
    <tableColumn id="1" xr3:uid="{00000000-0010-0000-1C00-000001000000}" name="ActiveEventType"/>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D000000}" name="TActiveTaskType" displayName="TActiveTaskType" ref="O6:O14" totalsRowShown="0">
  <autoFilter ref="O6:O14" xr:uid="{00000000-0009-0000-0100-000027000000}"/>
  <tableColumns count="1">
    <tableColumn id="1" xr3:uid="{00000000-0010-0000-1D00-000001000000}" name="ActiveTaskType"/>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E000000}" name="TActiveFlowType" displayName="TActiveFlowType" ref="P6:P9" totalsRowShown="0">
  <autoFilter ref="P6:P9" xr:uid="{00000000-0009-0000-0100-000028000000}"/>
  <tableColumns count="1">
    <tableColumn id="1" xr3:uid="{00000000-0010-0000-1E00-000001000000}" name="ActiveFlowType"/>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F000000}" name="TMetric" displayName="TMetric" ref="G6:G28" totalsRowShown="0">
  <autoFilter ref="G6:G28" xr:uid="{00000000-0009-0000-0100-00002A000000}"/>
  <tableColumns count="1">
    <tableColumn id="1" xr3:uid="{00000000-0010-0000-1F00-000001000000}" name="Metric"/>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0000000}" name="TStakeholderType" displayName="TStakeholderType" ref="S6:S11" totalsRowShown="0">
  <autoFilter ref="S6:S11" xr:uid="{00000000-0009-0000-0100-00003B000000}"/>
  <tableColumns count="1">
    <tableColumn id="1" xr3:uid="{00000000-0010-0000-2000-000001000000}" name="StakeholderType"/>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1000000}" name="TStakeholderSubType" displayName="TStakeholderSubType" ref="T6:T33" totalsRowShown="0">
  <autoFilter ref="T6:T33" xr:uid="{00000000-0009-0000-0100-00003C000000}"/>
  <tableColumns count="1">
    <tableColumn id="1" xr3:uid="{00000000-0010-0000-2100-000001000000}" name="StakeholderSubType"/>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2000000}" name="TSystemType" displayName="TSystemType" ref="W6:W11" totalsRowShown="0">
  <autoFilter ref="W6:W11" xr:uid="{00000000-0009-0000-0100-00003D000000}"/>
  <tableColumns count="1">
    <tableColumn id="1" xr3:uid="{00000000-0010-0000-2200-000001000000}" name="SystemType"/>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3000000}" name="TSystemSubType" displayName="TSystemSubType" ref="X6:X41" totalsRowShown="0">
  <autoFilter ref="X6:X41" xr:uid="{00000000-0009-0000-0100-00003E000000}"/>
  <tableColumns count="1">
    <tableColumn id="1" xr3:uid="{00000000-0010-0000-2300-000001000000}" name="SystemSubType"/>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4000000}" name="TDataEntityType" displayName="TDataEntityType" ref="AA6:AA12" totalsRowShown="0">
  <autoFilter ref="AA6:AA12" xr:uid="{00000000-0009-0000-0100-00003F000000}"/>
  <tableColumns count="1">
    <tableColumn id="1" xr3:uid="{00000000-0010-0000-2400-000001000000}" name="DataEntityType"/>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5000000}" name="TDataEntitySubType" displayName="TDataEntitySubType" ref="AB6:AB9" totalsRowShown="0">
  <autoFilter ref="AB6:AB9" xr:uid="{00000000-0009-0000-0100-000040000000}"/>
  <tableColumns count="1">
    <tableColumn id="1" xr3:uid="{00000000-0010-0000-2500-000001000000}" name="DataEntitySubType"/>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6000000}" name="TDataAttributeType" displayName="TDataAttributeType" ref="AC6:AC24" totalsRowShown="0">
  <autoFilter ref="AC6:AC24" xr:uid="{00000000-0009-0000-0100-000041000000}"/>
  <tableColumns count="1">
    <tableColumn id="1" xr3:uid="{00000000-0010-0000-2600-000001000000}" name="DataAttributeType"/>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7000000}" name="TDataEnumerationType" displayName="TDataEnumerationType" ref="AD6:AD8" totalsRowShown="0">
  <autoFilter ref="AD6:AD8" xr:uid="{00000000-0009-0000-0100-000042000000}"/>
  <tableColumns count="1">
    <tableColumn id="1" xr3:uid="{00000000-0010-0000-2700-000001000000}" name="DataEnumerationType"/>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28000000}" name="TDataEntityClusterType" displayName="TDataEntityClusterType" ref="AE6:AE12" totalsRowShown="0">
  <autoFilter ref="AE6:AE12" xr:uid="{00000000-0009-0000-0100-000043000000}"/>
  <tableColumns count="1">
    <tableColumn id="1" xr3:uid="{00000000-0010-0000-2800-000001000000}" name="DataEntityClusterType"/>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29000000}" name="TActorType" displayName="TActorType" ref="U6:U9" totalsRowShown="0">
  <autoFilter ref="U6:U9" xr:uid="{00000000-0009-0000-0100-000044000000}"/>
  <tableColumns count="1">
    <tableColumn id="1" xr3:uid="{00000000-0010-0000-2900-000001000000}" name="ActorType"/>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2A000000}" name="TStateMachineType" displayName="TStateMachineType" ref="Q6:Q8" totalsRowShown="0">
  <autoFilter ref="Q6:Q8" xr:uid="{00000000-0009-0000-0100-000045000000}"/>
  <tableColumns count="1">
    <tableColumn id="1" xr3:uid="{00000000-0010-0000-2A00-000001000000}" name="StateMachineType"/>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2B000000}" name="TFRType" displayName="TFRType" ref="AH6:AH9" totalsRowShown="0" tableBorderDxfId="22">
  <autoFilter ref="AH6:AH9" xr:uid="{00000000-0009-0000-0100-000046000000}"/>
  <tableColumns count="1">
    <tableColumn id="1" xr3:uid="{00000000-0010-0000-2B00-000001000000}" name="FRType"/>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2C000000}" name="TQRType" displayName="TQRType" ref="AI6:AI18" totalsRowShown="0" tableBorderDxfId="21">
  <autoFilter ref="AI6:AI18" xr:uid="{00000000-0009-0000-0100-000047000000}"/>
  <tableColumns count="1">
    <tableColumn id="1" xr3:uid="{00000000-0010-0000-2C00-000001000000}" name="QRTyp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2D000000}" name="TQRSubType" displayName="TQRSubType" ref="AJ6:AJ57" totalsRowShown="0" tableBorderDxfId="20">
  <autoFilter ref="AJ6:AJ57" xr:uid="{00000000-0009-0000-0100-000048000000}"/>
  <tableColumns count="1">
    <tableColumn id="1" xr3:uid="{00000000-0010-0000-2D00-000001000000}" name="QRSubType"/>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2E000000}" name="TGoalType" displayName="TGoalType" ref="AK6:AK18" totalsRowShown="0" tableBorderDxfId="19">
  <autoFilter ref="AK6:AK18" xr:uid="{00000000-0009-0000-0100-000049000000}"/>
  <tableColumns count="1">
    <tableColumn id="1" xr3:uid="{00000000-0010-0000-2E00-000001000000}" name="GoalType"/>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2F000000}" name="TGoalSubType" displayName="TGoalSubType" ref="AL6:AL57" totalsRowShown="0" tableBorderDxfId="18">
  <autoFilter ref="AL6:AL57" xr:uid="{00000000-0009-0000-0100-00004A000000}"/>
  <tableColumns count="1">
    <tableColumn id="1" xr3:uid="{00000000-0010-0000-2F00-000001000000}" name="GoalSubType"/>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0000000}" name="TConstraintType" displayName="TConstraintType" ref="AM6:AM13" totalsRowShown="0" tableBorderDxfId="17">
  <autoFilter ref="AM6:AM13" xr:uid="{00000000-0009-0000-0100-00004B000000}"/>
  <tableColumns count="1">
    <tableColumn id="1" xr3:uid="{00000000-0010-0000-3000-000001000000}" name="ConstraintType"/>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1000000}" name="TConstraintSubType" displayName="TConstraintSubType" ref="AN6:AN27" totalsRowShown="0" tableBorderDxfId="16">
  <autoFilter ref="AN6:AN27" xr:uid="{00000000-0009-0000-0100-00004C000000}"/>
  <tableColumns count="1">
    <tableColumn id="1" xr3:uid="{00000000-0010-0000-3100-000001000000}" name="ConstraintSubType"/>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2000000}" name="TUserStoryType" displayName="TUserStoryType" ref="AO6:AO9" totalsRowShown="0" tableBorderDxfId="15">
  <autoFilter ref="AO6:AO9" xr:uid="{00000000-0009-0000-0100-00004D000000}"/>
  <tableColumns count="1">
    <tableColumn id="1" xr3:uid="{00000000-0010-0000-3200-000001000000}" name="UserStoryType"/>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3000000}" name="TUseCaseType" displayName="TUseCaseType" ref="AQ6:AQ27" totalsRowShown="0" tableBorderDxfId="14">
  <autoFilter ref="AQ6:AQ27" xr:uid="{00000000-0009-0000-0100-00004E000000}"/>
  <tableColumns count="1">
    <tableColumn id="1" xr3:uid="{00000000-0010-0000-3300-000001000000}" name="UseCaseType"/>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4000000}" name="TScenarioType" displayName="TScenarioType" ref="AS6:AS9" totalsRowShown="0" tableBorderDxfId="13">
  <autoFilter ref="AS6:AS9" xr:uid="{00000000-0009-0000-0100-00004F000000}"/>
  <tableColumns count="1">
    <tableColumn id="1" xr3:uid="{00000000-0010-0000-3400-000001000000}" name="ScenarioType"/>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5000000}" name="TStepOperationType" displayName="TStepOperationType" ref="AT6:AT12" totalsRowShown="0" tableBorderDxfId="12">
  <autoFilter ref="AT6:AT12" xr:uid="{00000000-0009-0000-0100-000050000000}"/>
  <tableColumns count="1">
    <tableColumn id="1" xr3:uid="{00000000-0010-0000-3500-000001000000}" name="StepOperationType"/>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6000000}" name="TStepOperationSubType" displayName="TStepOperationSubType" ref="AU6:AU21" totalsRowShown="0" tableBorderDxfId="11">
  <autoFilter ref="AU6:AU21" xr:uid="{00000000-0009-0000-0100-000051000000}"/>
  <tableColumns count="1">
    <tableColumn id="1" xr3:uid="{00000000-0010-0000-3600-000001000000}" name="StepOperationSubType"/>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7000000}" name="TRiskType" displayName="TRiskType" ref="AW6:AW10" totalsRowShown="0" tableBorderDxfId="10">
  <autoFilter ref="AW6:AW10" xr:uid="{00000000-0009-0000-0100-000052000000}"/>
  <tableColumns count="1">
    <tableColumn id="1" xr3:uid="{00000000-0010-0000-3700-000001000000}" name="RiskType"/>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38000000}" name="TRiskSubType" displayName="TRiskSubType" ref="AX6:AX22" totalsRowShown="0" tableBorderDxfId="9">
  <autoFilter ref="AX6:AX22" xr:uid="{00000000-0009-0000-0100-000053000000}"/>
  <tableColumns count="1">
    <tableColumn id="1" xr3:uid="{00000000-0010-0000-3800-000001000000}" name="RiskSubType"/>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0000000-000C-0000-FFFF-FFFF39000000}" name="TRiskTreatmentType" displayName="TRiskTreatmentType" ref="AY6:AY10" totalsRowShown="0" tableBorderDxfId="8">
  <autoFilter ref="AY6:AY10" xr:uid="{00000000-0009-0000-0100-000054000000}"/>
  <tableColumns count="1">
    <tableColumn id="1" xr3:uid="{00000000-0010-0000-3900-000001000000}" name="RiskTreatmentType"/>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00000000-000C-0000-FFFF-FFFF3A000000}" name="TRiskStatus" displayName="TRiskStatus" ref="AZ6:AZ13" totalsRowShown="0" tableBorderDxfId="7">
  <autoFilter ref="AZ6:AZ13" xr:uid="{00000000-0009-0000-0100-000055000000}"/>
  <tableColumns count="1">
    <tableColumn id="1" xr3:uid="{00000000-0010-0000-3A00-000001000000}" name="RiskStatus"/>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00000000-000C-0000-FFFF-FFFF3B000000}" name="TVulnerabilityType" displayName="TVulnerabilityType" ref="BA6:BA10" totalsRowShown="0" tableBorderDxfId="6">
  <autoFilter ref="BA6:BA10" xr:uid="{00000000-0009-0000-0100-000056000000}"/>
  <tableColumns count="1">
    <tableColumn id="1" xr3:uid="{00000000-0010-0000-3B00-000001000000}" name="VulnerabilityType"/>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00000000-000C-0000-FFFF-FFFF3C000000}" name="TVulnerabilitySubType" displayName="TVulnerabilitySubType" ref="BB6:BB20" totalsRowShown="0" tableBorderDxfId="5">
  <autoFilter ref="BB6:BB20" xr:uid="{00000000-0009-0000-0100-000057000000}"/>
  <tableColumns count="1">
    <tableColumn id="1" xr3:uid="{00000000-0010-0000-3C00-000001000000}" name="VulnerabilitySubType"/>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0000000-000C-0000-FFFF-FFFF3D000000}" name="TVulnerabilityAttackVector" displayName="TVulnerabilityAttackVector" ref="BC6:BC11" totalsRowShown="0" tableBorderDxfId="4">
  <autoFilter ref="BC6:BC11" xr:uid="{00000000-0009-0000-0100-000058000000}"/>
  <tableColumns count="1">
    <tableColumn id="1" xr3:uid="{00000000-0010-0000-3D00-000001000000}" name="VulnerabilityAttackVector"/>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00000000-000C-0000-FFFF-FFFF3E000000}" name="TTestType" displayName="TTestType" ref="BE6:BE8" totalsRowShown="0" tableBorderDxfId="3">
  <autoFilter ref="BE6:BE8" xr:uid="{00000000-0009-0000-0100-000059000000}"/>
  <tableColumns count="1">
    <tableColumn id="1" xr3:uid="{00000000-0010-0000-3E00-000001000000}" name="TestType"/>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3F000000}" name="TCheckType" displayName="TCheckType" ref="BF6:BF15" totalsRowShown="0" tableBorderDxfId="2">
  <autoFilter ref="BF6:BF15" xr:uid="{00000000-0009-0000-0100-00005A000000}"/>
  <tableColumns count="1">
    <tableColumn id="1" xr3:uid="{00000000-0010-0000-3F00-000001000000}" name="CheckType"/>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0000000-000C-0000-FFFF-FFFF40000000}" name="TUCActionType" displayName="TUCActionType" ref="AR6:AR22" totalsRowShown="0">
  <autoFilter ref="AR6:AR22" xr:uid="{00000000-0009-0000-0100-00005D000000}"/>
  <tableColumns count="1">
    <tableColumn id="1" xr3:uid="{00000000-0010-0000-4000-000001000000}" name="UCActionType"/>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000000-000C-0000-FFFF-FFFF41000000}" name="TSystemsRelationCategory" displayName="TSystemsRelationCategory" ref="Y6:Y12" totalsRowShown="0">
  <autoFilter ref="Y6:Y12" xr:uid="{00000000-0009-0000-0100-00005E000000}"/>
  <tableColumns count="1">
    <tableColumn id="1" xr3:uid="{00000000-0010-0000-4100-000001000000}" name="SystemsRelationCategory"/>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6A25CFB-D74A-E44F-A20B-4A4E78FDCAE0}" name="TUserStoryType14" displayName="TUserStoryType14" ref="AP6:AP11" totalsRowShown="0" tableBorderDxfId="1">
  <autoFilter ref="AP6:AP11" xr:uid="{46A25CFB-D74A-E44F-A20B-4A4E78FDCAE0}"/>
  <tableColumns count="1">
    <tableColumn id="1" xr3:uid="{4CE3546C-E943-CF4A-8471-8F382DE9CA0F}" name="UserStoryOperationType"/>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54D625B-DB5F-A94C-B8A0-3AA0325297E0}" name="Table29" displayName="Table29" ref="AF6:AF10" totalsRowShown="0">
  <autoFilter ref="AF6:AF10" xr:uid="{854D625B-DB5F-A94C-B8A0-3AA0325297E0}"/>
  <tableColumns count="1">
    <tableColumn id="1" xr3:uid="{1C9AAD72-D0EF-974E-BC9A-7A4842C03B5C}" name="DataEntityConstraintType"/>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BA55BA2-36F5-D441-9E8B-657EE7EEE71B}" name="TDataEntityTypes" displayName="TDataEntityTypes" ref="I6:I8" totalsRowShown="0" tableBorderDxfId="0">
  <autoFilter ref="I6:I8" xr:uid="{4BA55BA2-36F5-D441-9E8B-657EE7EEE71B}"/>
  <tableColumns count="1">
    <tableColumn id="1" xr3:uid="{D44EBC90-2A93-9141-B799-2B20D58A0082}" name="Data Entity Types"/>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F254E4-2AF3-FD4A-8E8E-34B0C4750D51}">
  <we:reference id="b24ba806-57a6-436b-b22f-8b4d613d336e" version="1.0.0.0" store="developer" storeType="Registry"/>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_xldudf_CONTOSO_ADD</we:customFunctionIds>
        <we:customFunctionIds>_xldudf_CONTOSO_CLOCK</we:customFunctionIds>
        <we:customFunctionIds>_xldudf_CONTOSO_INCREMENT</we:customFunctionIds>
        <we:customFunctionIds>_xldudf_CONTOSO_LOG</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mailto:test@test.com"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0.bin"/><Relationship Id="rId5" Type="http://schemas.openxmlformats.org/officeDocument/2006/relationships/table" Target="../tables/table16.xml"/><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3.xml.rels><?xml version="1.0" encoding="UTF-8" standalone="yes"?>
<Relationships xmlns="http://schemas.openxmlformats.org/package/2006/relationships"><Relationship Id="rId13" Type="http://schemas.openxmlformats.org/officeDocument/2006/relationships/table" Target="../tables/table36.xml"/><Relationship Id="rId18" Type="http://schemas.openxmlformats.org/officeDocument/2006/relationships/table" Target="../tables/table41.xml"/><Relationship Id="rId26" Type="http://schemas.openxmlformats.org/officeDocument/2006/relationships/table" Target="../tables/table49.xml"/><Relationship Id="rId39" Type="http://schemas.openxmlformats.org/officeDocument/2006/relationships/table" Target="../tables/table62.xml"/><Relationship Id="rId21" Type="http://schemas.openxmlformats.org/officeDocument/2006/relationships/table" Target="../tables/table44.xml"/><Relationship Id="rId34" Type="http://schemas.openxmlformats.org/officeDocument/2006/relationships/table" Target="../tables/table57.xml"/><Relationship Id="rId42" Type="http://schemas.openxmlformats.org/officeDocument/2006/relationships/table" Target="../tables/table65.xml"/><Relationship Id="rId47" Type="http://schemas.openxmlformats.org/officeDocument/2006/relationships/table" Target="../tables/table70.xml"/><Relationship Id="rId50" Type="http://schemas.openxmlformats.org/officeDocument/2006/relationships/table" Target="../tables/table73.xml"/><Relationship Id="rId7" Type="http://schemas.openxmlformats.org/officeDocument/2006/relationships/table" Target="../tables/table30.xml"/><Relationship Id="rId2" Type="http://schemas.openxmlformats.org/officeDocument/2006/relationships/table" Target="../tables/table25.xml"/><Relationship Id="rId16" Type="http://schemas.openxmlformats.org/officeDocument/2006/relationships/table" Target="../tables/table39.xml"/><Relationship Id="rId29" Type="http://schemas.openxmlformats.org/officeDocument/2006/relationships/table" Target="../tables/table52.xml"/><Relationship Id="rId11" Type="http://schemas.openxmlformats.org/officeDocument/2006/relationships/table" Target="../tables/table34.xml"/><Relationship Id="rId24" Type="http://schemas.openxmlformats.org/officeDocument/2006/relationships/table" Target="../tables/table47.xml"/><Relationship Id="rId32" Type="http://schemas.openxmlformats.org/officeDocument/2006/relationships/table" Target="../tables/table55.xml"/><Relationship Id="rId37" Type="http://schemas.openxmlformats.org/officeDocument/2006/relationships/table" Target="../tables/table60.xml"/><Relationship Id="rId40" Type="http://schemas.openxmlformats.org/officeDocument/2006/relationships/table" Target="../tables/table63.xml"/><Relationship Id="rId45" Type="http://schemas.openxmlformats.org/officeDocument/2006/relationships/table" Target="../tables/table68.xml"/><Relationship Id="rId5" Type="http://schemas.openxmlformats.org/officeDocument/2006/relationships/table" Target="../tables/table28.xml"/><Relationship Id="rId15" Type="http://schemas.openxmlformats.org/officeDocument/2006/relationships/table" Target="../tables/table38.xml"/><Relationship Id="rId23" Type="http://schemas.openxmlformats.org/officeDocument/2006/relationships/table" Target="../tables/table46.xml"/><Relationship Id="rId28" Type="http://schemas.openxmlformats.org/officeDocument/2006/relationships/table" Target="../tables/table51.xml"/><Relationship Id="rId36" Type="http://schemas.openxmlformats.org/officeDocument/2006/relationships/table" Target="../tables/table59.xml"/><Relationship Id="rId49" Type="http://schemas.openxmlformats.org/officeDocument/2006/relationships/table" Target="../tables/table72.xml"/><Relationship Id="rId10" Type="http://schemas.openxmlformats.org/officeDocument/2006/relationships/table" Target="../tables/table33.xml"/><Relationship Id="rId19" Type="http://schemas.openxmlformats.org/officeDocument/2006/relationships/table" Target="../tables/table42.xml"/><Relationship Id="rId31" Type="http://schemas.openxmlformats.org/officeDocument/2006/relationships/table" Target="../tables/table54.xml"/><Relationship Id="rId44" Type="http://schemas.openxmlformats.org/officeDocument/2006/relationships/table" Target="../tables/table67.xml"/><Relationship Id="rId4" Type="http://schemas.openxmlformats.org/officeDocument/2006/relationships/table" Target="../tables/table27.xml"/><Relationship Id="rId9" Type="http://schemas.openxmlformats.org/officeDocument/2006/relationships/table" Target="../tables/table32.xml"/><Relationship Id="rId14" Type="http://schemas.openxmlformats.org/officeDocument/2006/relationships/table" Target="../tables/table37.xml"/><Relationship Id="rId22" Type="http://schemas.openxmlformats.org/officeDocument/2006/relationships/table" Target="../tables/table45.xml"/><Relationship Id="rId27" Type="http://schemas.openxmlformats.org/officeDocument/2006/relationships/table" Target="../tables/table50.xml"/><Relationship Id="rId30" Type="http://schemas.openxmlformats.org/officeDocument/2006/relationships/table" Target="../tables/table53.xml"/><Relationship Id="rId35" Type="http://schemas.openxmlformats.org/officeDocument/2006/relationships/table" Target="../tables/table58.xml"/><Relationship Id="rId43" Type="http://schemas.openxmlformats.org/officeDocument/2006/relationships/table" Target="../tables/table66.xml"/><Relationship Id="rId48" Type="http://schemas.openxmlformats.org/officeDocument/2006/relationships/table" Target="../tables/table71.xml"/><Relationship Id="rId8" Type="http://schemas.openxmlformats.org/officeDocument/2006/relationships/table" Target="../tables/table31.xml"/><Relationship Id="rId51" Type="http://schemas.openxmlformats.org/officeDocument/2006/relationships/table" Target="../tables/table74.xml"/><Relationship Id="rId3" Type="http://schemas.openxmlformats.org/officeDocument/2006/relationships/table" Target="../tables/table26.xml"/><Relationship Id="rId12" Type="http://schemas.openxmlformats.org/officeDocument/2006/relationships/table" Target="../tables/table35.xml"/><Relationship Id="rId17" Type="http://schemas.openxmlformats.org/officeDocument/2006/relationships/table" Target="../tables/table40.xml"/><Relationship Id="rId25" Type="http://schemas.openxmlformats.org/officeDocument/2006/relationships/table" Target="../tables/table48.xml"/><Relationship Id="rId33" Type="http://schemas.openxmlformats.org/officeDocument/2006/relationships/table" Target="../tables/table56.xml"/><Relationship Id="rId38" Type="http://schemas.openxmlformats.org/officeDocument/2006/relationships/table" Target="../tables/table61.xml"/><Relationship Id="rId46" Type="http://schemas.openxmlformats.org/officeDocument/2006/relationships/table" Target="../tables/table69.xml"/><Relationship Id="rId20" Type="http://schemas.openxmlformats.org/officeDocument/2006/relationships/table" Target="../tables/table43.xml"/><Relationship Id="rId41" Type="http://schemas.openxmlformats.org/officeDocument/2006/relationships/table" Target="../tables/table64.xml"/><Relationship Id="rId1" Type="http://schemas.openxmlformats.org/officeDocument/2006/relationships/printerSettings" Target="../printerSettings/printerSettings23.bin"/><Relationship Id="rId6"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L15"/>
  <sheetViews>
    <sheetView workbookViewId="0">
      <selection sqref="A1:K1"/>
    </sheetView>
  </sheetViews>
  <sheetFormatPr baseColWidth="10" defaultColWidth="8.83203125" defaultRowHeight="15" x14ac:dyDescent="0.2"/>
  <cols>
    <col min="1" max="1" width="20.5" customWidth="1"/>
    <col min="2" max="2" width="19.5" customWidth="1"/>
    <col min="3" max="3" width="20.5" customWidth="1"/>
    <col min="4" max="4" width="20" customWidth="1"/>
    <col min="5" max="5" width="10.6640625" bestFit="1" customWidth="1"/>
    <col min="6" max="6" width="10.5" customWidth="1"/>
    <col min="7" max="8" width="11.5" customWidth="1"/>
    <col min="9" max="11" width="15.83203125" customWidth="1"/>
  </cols>
  <sheetData>
    <row r="1" spans="1:12" ht="30" customHeight="1" x14ac:dyDescent="0.3">
      <c r="A1" s="316" t="s">
        <v>801</v>
      </c>
      <c r="B1" s="316"/>
      <c r="C1" s="316"/>
      <c r="D1" s="316"/>
      <c r="E1" s="316"/>
      <c r="F1" s="316"/>
      <c r="G1" s="316"/>
      <c r="H1" s="316"/>
      <c r="I1" s="316"/>
      <c r="J1" s="316"/>
      <c r="K1" s="316"/>
    </row>
    <row r="2" spans="1:12" ht="24" x14ac:dyDescent="0.3">
      <c r="A2" s="317" t="s">
        <v>41</v>
      </c>
      <c r="B2" s="317"/>
      <c r="C2" s="317"/>
      <c r="D2" s="317"/>
      <c r="E2" s="317"/>
      <c r="F2" s="317"/>
      <c r="G2" s="317"/>
      <c r="H2" s="317"/>
      <c r="I2" s="317"/>
      <c r="J2" s="317"/>
      <c r="K2" s="317"/>
    </row>
    <row r="3" spans="1:12" ht="34.5" customHeight="1" x14ac:dyDescent="0.2"/>
    <row r="4" spans="1:12" ht="14.25" customHeight="1" x14ac:dyDescent="0.2">
      <c r="A4" s="320"/>
      <c r="B4" s="321"/>
      <c r="C4" s="321"/>
      <c r="D4" s="322"/>
      <c r="E4" s="313" t="s">
        <v>51</v>
      </c>
      <c r="F4" s="313"/>
      <c r="G4" s="313" t="s">
        <v>54</v>
      </c>
      <c r="H4" s="313"/>
      <c r="I4" s="319" t="s">
        <v>55</v>
      </c>
      <c r="J4" s="319"/>
      <c r="K4" s="319"/>
    </row>
    <row r="5" spans="1:12" ht="30.75" customHeight="1" x14ac:dyDescent="0.2">
      <c r="A5" s="3" t="s">
        <v>21</v>
      </c>
      <c r="B5" s="3" t="s">
        <v>127</v>
      </c>
      <c r="C5" s="3" t="s">
        <v>22</v>
      </c>
      <c r="D5" s="3" t="s">
        <v>50</v>
      </c>
      <c r="E5" s="3" t="s">
        <v>52</v>
      </c>
      <c r="F5" s="3" t="s">
        <v>53</v>
      </c>
      <c r="G5" s="3" t="s">
        <v>52</v>
      </c>
      <c r="H5" s="3" t="s">
        <v>53</v>
      </c>
      <c r="I5" s="3" t="s">
        <v>56</v>
      </c>
      <c r="J5" s="3" t="s">
        <v>57</v>
      </c>
      <c r="K5" s="3" t="s">
        <v>58</v>
      </c>
    </row>
    <row r="6" spans="1:12" ht="18.75" customHeight="1" x14ac:dyDescent="0.2">
      <c r="A6" s="55"/>
      <c r="B6" s="55"/>
      <c r="C6" s="53"/>
      <c r="D6" s="53"/>
      <c r="E6" s="105"/>
      <c r="F6" s="105"/>
      <c r="G6" s="105"/>
      <c r="H6" s="105"/>
      <c r="I6" s="53"/>
      <c r="J6" s="53"/>
      <c r="K6" s="53"/>
    </row>
    <row r="7" spans="1:12" ht="46.5" customHeight="1" x14ac:dyDescent="0.2"/>
    <row r="8" spans="1:12" ht="21" customHeight="1" x14ac:dyDescent="0.2">
      <c r="A8" s="312" t="s">
        <v>392</v>
      </c>
      <c r="B8" s="312"/>
      <c r="C8" s="312"/>
      <c r="D8" s="312"/>
      <c r="E8" s="312"/>
      <c r="F8" s="312"/>
      <c r="G8" s="312"/>
      <c r="H8" s="312"/>
      <c r="I8" s="312"/>
      <c r="J8" s="312"/>
      <c r="K8" s="312"/>
    </row>
    <row r="9" spans="1:12" ht="94.5" customHeight="1" x14ac:dyDescent="0.2">
      <c r="A9" s="318"/>
      <c r="B9" s="318"/>
      <c r="C9" s="318"/>
      <c r="D9" s="318"/>
      <c r="E9" s="318"/>
      <c r="F9" s="318"/>
      <c r="G9" s="318"/>
      <c r="H9" s="318"/>
      <c r="I9" s="318"/>
      <c r="J9" s="318"/>
      <c r="K9" s="318"/>
    </row>
    <row r="10" spans="1:12" ht="21" customHeight="1" x14ac:dyDescent="0.2"/>
    <row r="11" spans="1:12" ht="21" customHeight="1" x14ac:dyDescent="0.2">
      <c r="A11" s="312" t="s">
        <v>67</v>
      </c>
      <c r="B11" s="312"/>
      <c r="C11" s="312"/>
      <c r="D11" s="312"/>
      <c r="E11" s="312"/>
      <c r="F11" s="312"/>
      <c r="G11" s="312"/>
      <c r="H11" s="312"/>
      <c r="I11" s="312"/>
      <c r="J11" s="312"/>
      <c r="K11" s="312"/>
    </row>
    <row r="12" spans="1:12" ht="172.5" customHeight="1" x14ac:dyDescent="0.2">
      <c r="A12" s="314"/>
      <c r="B12" s="315"/>
      <c r="C12" s="315"/>
      <c r="D12" s="315"/>
      <c r="E12" s="315"/>
      <c r="F12" s="315"/>
      <c r="G12" s="315"/>
      <c r="H12" s="315"/>
      <c r="I12" s="315"/>
      <c r="J12" s="315"/>
      <c r="K12" s="315"/>
      <c r="L12" s="315"/>
    </row>
    <row r="14" spans="1:12" ht="15.75" customHeight="1" x14ac:dyDescent="0.2">
      <c r="A14" s="312" t="s">
        <v>68</v>
      </c>
      <c r="B14" s="312"/>
      <c r="C14" s="312"/>
      <c r="D14" s="312"/>
      <c r="E14" s="312"/>
      <c r="F14" s="312"/>
      <c r="G14" s="312"/>
      <c r="H14" s="312"/>
      <c r="I14" s="312"/>
      <c r="J14" s="312"/>
      <c r="K14" s="312"/>
    </row>
    <row r="15" spans="1:12" ht="171" customHeight="1" x14ac:dyDescent="0.2">
      <c r="A15" s="314"/>
      <c r="B15" s="315"/>
      <c r="C15" s="315"/>
      <c r="D15" s="315"/>
      <c r="E15" s="315"/>
      <c r="F15" s="315"/>
      <c r="G15" s="315"/>
      <c r="H15" s="315"/>
      <c r="I15" s="315"/>
      <c r="J15" s="315"/>
      <c r="K15" s="315"/>
      <c r="L15" s="315"/>
    </row>
  </sheetData>
  <mergeCells count="12">
    <mergeCell ref="A1:K1"/>
    <mergeCell ref="A2:K2"/>
    <mergeCell ref="A8:K8"/>
    <mergeCell ref="A9:K9"/>
    <mergeCell ref="A11:K11"/>
    <mergeCell ref="I4:K4"/>
    <mergeCell ref="A4:D4"/>
    <mergeCell ref="A14:K14"/>
    <mergeCell ref="E4:F4"/>
    <mergeCell ref="G4:H4"/>
    <mergeCell ref="A12:L12"/>
    <mergeCell ref="A15:L15"/>
  </mergeCells>
  <dataValidations count="2">
    <dataValidation type="list" allowBlank="1" showInputMessage="1" showErrorMessage="1" sqref="C6" xr:uid="{00000000-0002-0000-0000-000000000000}">
      <formula1>N_ProjectType</formula1>
    </dataValidation>
    <dataValidation type="list" allowBlank="1" showInputMessage="1" showErrorMessage="1" sqref="D6" xr:uid="{00000000-0002-0000-0000-000001000000}">
      <formula1>N_ApplicationDomain</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59999389629810485"/>
  </sheetPr>
  <dimension ref="A1:D8"/>
  <sheetViews>
    <sheetView workbookViewId="0"/>
  </sheetViews>
  <sheetFormatPr baseColWidth="10" defaultColWidth="8.83203125" defaultRowHeight="15" x14ac:dyDescent="0.2"/>
  <cols>
    <col min="1" max="1" width="15.33203125" customWidth="1"/>
    <col min="2" max="2" width="19.5" customWidth="1"/>
    <col min="3" max="3" width="31.1640625" customWidth="1"/>
    <col min="4" max="4" width="67.6640625" customWidth="1"/>
  </cols>
  <sheetData>
    <row r="1" spans="1:4" x14ac:dyDescent="0.2">
      <c r="A1" s="6" t="s">
        <v>13</v>
      </c>
    </row>
    <row r="2" spans="1:4" x14ac:dyDescent="0.2">
      <c r="A2" s="6"/>
    </row>
    <row r="3" spans="1:4" ht="23.25" customHeight="1" x14ac:dyDescent="0.3">
      <c r="A3" s="316" t="str">
        <f>Index!A1</f>
        <v>Online Boutique Requirements Specification</v>
      </c>
      <c r="B3" s="316"/>
      <c r="C3" s="316"/>
      <c r="D3" s="316"/>
    </row>
    <row r="4" spans="1:4" ht="24" x14ac:dyDescent="0.3">
      <c r="A4" s="317" t="s">
        <v>203</v>
      </c>
      <c r="B4" s="317"/>
      <c r="C4" s="317"/>
      <c r="D4" s="317"/>
    </row>
    <row r="5" spans="1:4" ht="34.5" customHeight="1" x14ac:dyDescent="0.2"/>
    <row r="6" spans="1:4" ht="17" x14ac:dyDescent="0.2">
      <c r="A6" s="145" t="s">
        <v>21</v>
      </c>
      <c r="B6" s="146" t="s">
        <v>127</v>
      </c>
      <c r="C6" s="146" t="s">
        <v>22</v>
      </c>
      <c r="D6" s="147" t="s">
        <v>2</v>
      </c>
    </row>
    <row r="7" spans="1:4" ht="30.75" customHeight="1" x14ac:dyDescent="0.2">
      <c r="A7" s="138" t="s">
        <v>204</v>
      </c>
      <c r="B7" s="55" t="s">
        <v>205</v>
      </c>
      <c r="C7" s="53" t="s">
        <v>45</v>
      </c>
      <c r="D7" s="125" t="s">
        <v>206</v>
      </c>
    </row>
    <row r="8" spans="1:4" ht="29.25" customHeight="1" x14ac:dyDescent="0.2">
      <c r="A8" s="139"/>
      <c r="B8" s="140"/>
      <c r="C8" s="141"/>
      <c r="D8" s="142"/>
    </row>
  </sheetData>
  <mergeCells count="2">
    <mergeCell ref="A3:D3"/>
    <mergeCell ref="A4:D4"/>
  </mergeCells>
  <dataValidations count="1">
    <dataValidation type="list" allowBlank="1" showInputMessage="1" showErrorMessage="1" sqref="C7:C8" xr:uid="{00000000-0002-0000-0100-000000000000}">
      <formula1>N_ApplicationDomain</formula1>
    </dataValidation>
  </dataValidations>
  <hyperlinks>
    <hyperlink ref="A1" location="index!A1" display="Back to Index" xr:uid="{00000000-0004-0000-0100-000000000000}"/>
  </hyperlink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9" tint="0.59999389629810485"/>
  </sheetPr>
  <dimension ref="A1:J15"/>
  <sheetViews>
    <sheetView zoomScale="91" workbookViewId="0"/>
  </sheetViews>
  <sheetFormatPr baseColWidth="10" defaultColWidth="8.83203125" defaultRowHeight="15" x14ac:dyDescent="0.2"/>
  <cols>
    <col min="1" max="1" width="17.33203125" customWidth="1"/>
    <col min="2" max="2" width="27.33203125" customWidth="1"/>
    <col min="3" max="3" width="11.33203125" customWidth="1"/>
    <col min="4" max="4" width="20" customWidth="1"/>
    <col min="5" max="5" width="13.6640625" customWidth="1"/>
    <col min="6" max="6" width="10.6640625" customWidth="1"/>
    <col min="7" max="9" width="14.5" customWidth="1"/>
    <col min="10" max="10" width="76.6640625" customWidth="1"/>
  </cols>
  <sheetData>
    <row r="1" spans="1:10" x14ac:dyDescent="0.2">
      <c r="A1" s="6" t="s">
        <v>13</v>
      </c>
    </row>
    <row r="2" spans="1:10" ht="7.5" customHeight="1" x14ac:dyDescent="0.2">
      <c r="A2" s="6"/>
    </row>
    <row r="3" spans="1:10" ht="23.25" customHeight="1" x14ac:dyDescent="0.3">
      <c r="A3" s="20" t="str">
        <f>Index!A1</f>
        <v>Online Boutique Requirements Specification</v>
      </c>
      <c r="B3" s="7"/>
      <c r="C3" s="8"/>
      <c r="D3" s="8"/>
      <c r="E3" s="8"/>
      <c r="F3" s="8"/>
      <c r="G3" s="8"/>
      <c r="H3" s="8"/>
      <c r="I3" s="8"/>
      <c r="J3" s="8"/>
    </row>
    <row r="4" spans="1:10" ht="24" x14ac:dyDescent="0.3">
      <c r="A4" s="317" t="s">
        <v>366</v>
      </c>
      <c r="B4" s="317"/>
      <c r="C4" s="317"/>
      <c r="D4" s="317"/>
      <c r="E4" s="317"/>
      <c r="F4" s="317"/>
      <c r="G4" s="317"/>
      <c r="H4" s="19"/>
      <c r="I4" s="19"/>
      <c r="J4" s="19"/>
    </row>
    <row r="5" spans="1:10" ht="34.5" customHeight="1" x14ac:dyDescent="0.2"/>
    <row r="6" spans="1:10" ht="18.75" customHeight="1" x14ac:dyDescent="0.2">
      <c r="G6" s="200" t="s">
        <v>551</v>
      </c>
    </row>
    <row r="7" spans="1:10" ht="17" x14ac:dyDescent="0.2">
      <c r="A7" s="145" t="s">
        <v>21</v>
      </c>
      <c r="B7" s="146" t="s">
        <v>127</v>
      </c>
      <c r="C7" s="192" t="s">
        <v>22</v>
      </c>
      <c r="D7" s="192" t="s">
        <v>18</v>
      </c>
      <c r="E7" s="192" t="s">
        <v>578</v>
      </c>
      <c r="F7" s="192" t="s">
        <v>552</v>
      </c>
      <c r="G7" s="192" t="s">
        <v>20</v>
      </c>
      <c r="H7" s="147" t="s">
        <v>553</v>
      </c>
      <c r="I7" s="147" t="s">
        <v>554</v>
      </c>
      <c r="J7" s="147" t="s">
        <v>2</v>
      </c>
    </row>
    <row r="8" spans="1:10" ht="169" customHeight="1" x14ac:dyDescent="0.2">
      <c r="A8" s="156"/>
      <c r="B8" s="107"/>
      <c r="C8" s="198"/>
      <c r="D8" s="106"/>
      <c r="E8" s="106"/>
      <c r="F8" s="106"/>
      <c r="G8" s="106"/>
      <c r="H8" s="191"/>
      <c r="I8" s="191"/>
      <c r="J8" s="243"/>
    </row>
    <row r="9" spans="1:10" ht="44" customHeight="1" x14ac:dyDescent="0.2">
      <c r="A9" s="138"/>
      <c r="B9" s="55"/>
      <c r="C9" s="198"/>
      <c r="D9" s="106"/>
      <c r="E9" s="106"/>
      <c r="F9" s="244"/>
      <c r="G9" s="198"/>
      <c r="H9" s="191"/>
      <c r="I9" s="191"/>
      <c r="J9" s="245"/>
    </row>
    <row r="10" spans="1:10" ht="40" customHeight="1" x14ac:dyDescent="0.2">
      <c r="A10" s="138"/>
      <c r="B10" s="55"/>
      <c r="C10" s="198"/>
      <c r="D10" s="106"/>
      <c r="E10" s="106"/>
      <c r="F10" s="106"/>
      <c r="G10" s="198"/>
      <c r="H10" s="191"/>
      <c r="I10" s="191"/>
      <c r="J10" s="246"/>
    </row>
    <row r="11" spans="1:10" ht="33.75" customHeight="1" x14ac:dyDescent="0.2">
      <c r="A11" s="138"/>
      <c r="B11" s="55"/>
      <c r="C11" s="198"/>
      <c r="D11" s="106"/>
      <c r="E11" s="106"/>
      <c r="F11" s="106"/>
      <c r="G11" s="198"/>
      <c r="H11" s="199"/>
      <c r="I11" s="199"/>
      <c r="J11" s="245"/>
    </row>
    <row r="12" spans="1:10" ht="33.75" customHeight="1" x14ac:dyDescent="0.2">
      <c r="A12" s="138"/>
      <c r="B12" s="55"/>
      <c r="C12" s="198"/>
      <c r="D12" s="106"/>
      <c r="E12" s="106"/>
      <c r="F12" s="106"/>
      <c r="G12" s="198"/>
      <c r="H12" s="199"/>
      <c r="I12" s="199"/>
      <c r="J12" s="245"/>
    </row>
    <row r="13" spans="1:10" ht="19.5" customHeight="1" x14ac:dyDescent="0.2">
      <c r="A13" s="55"/>
      <c r="B13" s="55"/>
      <c r="C13" s="198"/>
      <c r="D13" s="106"/>
      <c r="E13" s="198"/>
      <c r="F13" s="106"/>
      <c r="G13" s="198"/>
      <c r="H13" s="198"/>
      <c r="I13" s="198"/>
      <c r="J13" s="245"/>
    </row>
    <row r="14" spans="1:10" ht="62" customHeight="1" x14ac:dyDescent="0.2">
      <c r="A14" s="55"/>
      <c r="B14" s="55"/>
      <c r="C14" s="198"/>
      <c r="D14" s="106"/>
      <c r="E14" s="198"/>
      <c r="F14" s="106"/>
      <c r="G14" s="198"/>
      <c r="H14" s="198"/>
      <c r="I14" s="198"/>
      <c r="J14" s="245"/>
    </row>
    <row r="15" spans="1:10" ht="19.5" customHeight="1" x14ac:dyDescent="0.2">
      <c r="A15" s="247"/>
      <c r="B15" s="247"/>
      <c r="C15" s="248"/>
      <c r="D15" s="248"/>
      <c r="E15" s="248"/>
      <c r="F15" s="248"/>
      <c r="G15" s="248"/>
      <c r="H15" s="248"/>
      <c r="I15" s="248"/>
      <c r="J15" s="248"/>
    </row>
  </sheetData>
  <sheetProtection formatCells="0" formatColumns="0" formatRows="0" insertColumns="0" insertRows="0" deleteRows="0" sort="0" autoFilter="0"/>
  <mergeCells count="1">
    <mergeCell ref="A4:G4"/>
  </mergeCells>
  <dataValidations count="4">
    <dataValidation type="list" allowBlank="1" showInputMessage="1" showErrorMessage="1" sqref="E8:F15" xr:uid="{00000000-0002-0000-0200-000000000000}">
      <formula1>N_Boolean</formula1>
    </dataValidation>
    <dataValidation type="list" allowBlank="1" showInputMessage="1" showErrorMessage="1" sqref="D8:D15" xr:uid="{00000000-0002-0000-0200-000001000000}">
      <formula1>N_SystemSubType</formula1>
    </dataValidation>
    <dataValidation type="list" allowBlank="1" showInputMessage="1" showErrorMessage="1" sqref="C7:C15" xr:uid="{00000000-0002-0000-0200-000002000000}">
      <formula1>N_SystemType</formula1>
    </dataValidation>
    <dataValidation type="list" allowBlank="1" showInputMessage="1" showErrorMessage="1" sqref="G8:G15" xr:uid="{00000000-0002-0000-0200-000003000000}">
      <formula1>ID_System</formula1>
    </dataValidation>
  </dataValidations>
  <hyperlinks>
    <hyperlink ref="A1" location="index!A1" display="Back to Index" xr:uid="{00000000-0004-0000-0200-000000000000}"/>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6" tint="0.39997558519241921"/>
  </sheetPr>
  <dimension ref="A1:G7"/>
  <sheetViews>
    <sheetView zoomScale="111" workbookViewId="0">
      <selection activeCell="C7" sqref="C7"/>
    </sheetView>
  </sheetViews>
  <sheetFormatPr baseColWidth="10" defaultColWidth="8.83203125" defaultRowHeight="15" x14ac:dyDescent="0.2"/>
  <cols>
    <col min="1" max="1" width="19" customWidth="1"/>
    <col min="2" max="2" width="40.1640625" customWidth="1"/>
    <col min="3" max="3" width="16.6640625" customWidth="1"/>
    <col min="4" max="4" width="24.6640625" customWidth="1"/>
    <col min="5" max="5" width="16.83203125" customWidth="1"/>
    <col min="6" max="6" width="12.83203125" customWidth="1"/>
    <col min="7" max="7" width="51.1640625" customWidth="1"/>
    <col min="8" max="8" width="18.83203125" customWidth="1"/>
    <col min="10" max="10" width="26.6640625" customWidth="1"/>
    <col min="11" max="11" width="19.83203125" customWidth="1"/>
    <col min="12" max="12" width="20.6640625" customWidth="1"/>
    <col min="13" max="13" width="23" customWidth="1"/>
    <col min="14" max="14" width="25.33203125" customWidth="1"/>
    <col min="15" max="15" width="27.5" customWidth="1"/>
    <col min="16" max="16" width="27.83203125" customWidth="1"/>
    <col min="17" max="17" width="20.5" customWidth="1"/>
    <col min="18" max="18" width="22.1640625" customWidth="1"/>
    <col min="19" max="19" width="23.1640625" customWidth="1"/>
    <col min="20" max="20" width="26" customWidth="1"/>
    <col min="21" max="21" width="16.33203125" customWidth="1"/>
  </cols>
  <sheetData>
    <row r="1" spans="1:7" ht="24" x14ac:dyDescent="0.3">
      <c r="A1" s="6" t="s">
        <v>13</v>
      </c>
      <c r="B1" s="1"/>
    </row>
    <row r="2" spans="1:7" ht="10.5" customHeight="1" x14ac:dyDescent="0.2"/>
    <row r="3" spans="1:7" ht="29.25" customHeight="1" x14ac:dyDescent="0.3">
      <c r="A3" s="316" t="str">
        <f>Index!A1</f>
        <v>Online Boutique Requirements Specification</v>
      </c>
      <c r="B3" s="316"/>
      <c r="C3" s="316"/>
      <c r="D3" s="316"/>
      <c r="E3" s="316"/>
      <c r="F3" s="18"/>
      <c r="G3" s="18"/>
    </row>
    <row r="4" spans="1:7" ht="29.25" customHeight="1" x14ac:dyDescent="0.3">
      <c r="A4" s="317" t="s">
        <v>60</v>
      </c>
      <c r="B4" s="317"/>
      <c r="C4" s="317"/>
      <c r="D4" s="317"/>
      <c r="E4" s="317"/>
      <c r="F4" s="19"/>
      <c r="G4" s="19"/>
    </row>
    <row r="5" spans="1:7" ht="34.5" customHeight="1" x14ac:dyDescent="0.2"/>
    <row r="6" spans="1:7" ht="18.75" customHeight="1" x14ac:dyDescent="0.2">
      <c r="A6" s="173" t="s">
        <v>21</v>
      </c>
      <c r="B6" s="174" t="s">
        <v>127</v>
      </c>
      <c r="C6" s="233" t="s">
        <v>23</v>
      </c>
      <c r="D6" s="233" t="s">
        <v>18</v>
      </c>
      <c r="E6" s="234" t="s">
        <v>402</v>
      </c>
      <c r="F6" s="233" t="s">
        <v>20</v>
      </c>
      <c r="G6" s="175" t="s">
        <v>2</v>
      </c>
    </row>
    <row r="7" spans="1:7" ht="15" customHeight="1" x14ac:dyDescent="0.2">
      <c r="A7" s="143"/>
      <c r="B7" s="53"/>
      <c r="C7" s="53"/>
      <c r="D7" s="53"/>
      <c r="E7" s="274"/>
      <c r="F7" s="254"/>
      <c r="G7" s="125"/>
    </row>
  </sheetData>
  <mergeCells count="2">
    <mergeCell ref="A3:E3"/>
    <mergeCell ref="A4:E4"/>
  </mergeCells>
  <dataValidations count="3">
    <dataValidation type="list" allowBlank="1" showInputMessage="1" showErrorMessage="1" sqref="C7" xr:uid="{00000000-0002-0000-0300-000000000000}">
      <formula1>N_StakeholderType</formula1>
    </dataValidation>
    <dataValidation type="list" allowBlank="1" showInputMessage="1" showErrorMessage="1" sqref="D7" xr:uid="{00000000-0002-0000-0300-000001000000}">
      <formula1>N_StakeholderSubType</formula1>
    </dataValidation>
    <dataValidation type="list" allowBlank="1" showInputMessage="1" showErrorMessage="1" sqref="F7 E1:E1048576" xr:uid="{00000000-0002-0000-0300-000002000000}">
      <formula1>ID_Stakeholder</formula1>
    </dataValidation>
  </dataValidations>
  <hyperlinks>
    <hyperlink ref="A1" location="index!A1" display="Back to Index" xr:uid="{00000000-0004-0000-0300-000000000000}"/>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6" tint="0.39997558519241921"/>
  </sheetPr>
  <dimension ref="A1:G8"/>
  <sheetViews>
    <sheetView zoomScale="112" workbookViewId="0">
      <selection activeCell="B8" sqref="B8"/>
    </sheetView>
  </sheetViews>
  <sheetFormatPr baseColWidth="10" defaultColWidth="8.83203125" defaultRowHeight="15" x14ac:dyDescent="0.2"/>
  <cols>
    <col min="1" max="1" width="18.6640625" customWidth="1"/>
    <col min="2" max="2" width="25.1640625" customWidth="1"/>
    <col min="3" max="3" width="19.5" customWidth="1"/>
    <col min="4" max="4" width="11.1640625" customWidth="1"/>
    <col min="5" max="5" width="15.33203125" customWidth="1"/>
    <col min="6" max="6" width="17.6640625" customWidth="1"/>
    <col min="7" max="7" width="51.5" customWidth="1"/>
    <col min="8" max="8" width="14.5" customWidth="1"/>
    <col min="9" max="9" width="12.33203125" customWidth="1"/>
  </cols>
  <sheetData>
    <row r="1" spans="1:7" x14ac:dyDescent="0.2">
      <c r="A1" s="6" t="s">
        <v>13</v>
      </c>
    </row>
    <row r="2" spans="1:7" ht="7.5" customHeight="1" x14ac:dyDescent="0.2"/>
    <row r="3" spans="1:7" ht="24" x14ac:dyDescent="0.3">
      <c r="A3" s="20" t="str">
        <f>Index!A1</f>
        <v>Online Boutique Requirements Specification</v>
      </c>
      <c r="B3" s="7"/>
      <c r="C3" s="7"/>
      <c r="D3" s="7"/>
      <c r="E3" s="8"/>
      <c r="F3" s="8"/>
      <c r="G3" s="8"/>
    </row>
    <row r="4" spans="1:7" ht="20.25" customHeight="1" x14ac:dyDescent="0.3">
      <c r="A4" s="10" t="s">
        <v>61</v>
      </c>
      <c r="B4" s="11"/>
      <c r="C4" s="11"/>
      <c r="D4" s="11"/>
      <c r="E4" s="13"/>
      <c r="F4" s="13"/>
      <c r="G4" s="13"/>
    </row>
    <row r="5" spans="1:7" ht="18" customHeight="1" x14ac:dyDescent="0.2"/>
    <row r="6" spans="1:7" x14ac:dyDescent="0.2">
      <c r="A6" s="33" t="s">
        <v>579</v>
      </c>
    </row>
    <row r="7" spans="1:7" ht="16" x14ac:dyDescent="0.2">
      <c r="A7" s="179" t="s">
        <v>21</v>
      </c>
      <c r="B7" s="180" t="s">
        <v>127</v>
      </c>
      <c r="C7" s="180" t="s">
        <v>799</v>
      </c>
      <c r="D7" s="235" t="s">
        <v>22</v>
      </c>
      <c r="E7" s="235" t="s">
        <v>402</v>
      </c>
      <c r="F7" s="235" t="s">
        <v>10</v>
      </c>
      <c r="G7" s="181" t="s">
        <v>2</v>
      </c>
    </row>
    <row r="8" spans="1:7" ht="15" customHeight="1" x14ac:dyDescent="0.2">
      <c r="A8" s="143" t="s">
        <v>806</v>
      </c>
      <c r="B8" s="53" t="s">
        <v>56</v>
      </c>
      <c r="C8" s="53"/>
      <c r="D8" s="54"/>
      <c r="E8" s="54"/>
      <c r="F8" s="53"/>
      <c r="G8" s="125"/>
    </row>
  </sheetData>
  <dataValidations count="5">
    <dataValidation type="list" allowBlank="1" showInputMessage="1" showErrorMessage="1" sqref="D7:D8" xr:uid="{00000000-0002-0000-0400-000000000000}">
      <formula1>N_ActorType</formula1>
    </dataValidation>
    <dataValidation type="list" allowBlank="1" showInputMessage="1" showErrorMessage="1" sqref="A6" xr:uid="{00000000-0002-0000-0400-000001000000}">
      <formula1>ID_System</formula1>
    </dataValidation>
    <dataValidation type="list" allowBlank="1" showInputMessage="1" showErrorMessage="1" sqref="E8" xr:uid="{00000000-0002-0000-0400-000002000000}">
      <formula1>ID_Actor</formula1>
    </dataValidation>
    <dataValidation type="list" allowBlank="1" showInputMessage="1" showErrorMessage="1" sqref="F8" xr:uid="{00000000-0002-0000-0400-000003000000}">
      <formula1>ID_Stakeholder</formula1>
    </dataValidation>
    <dataValidation type="list" allowBlank="1" showInputMessage="1" showErrorMessage="1" sqref="C8" xr:uid="{80D9E010-32D1-9F4E-8203-E735F60EAB6F}">
      <formula1>Id_DataEntity_NoDuplicates</formula1>
    </dataValidation>
  </dataValidations>
  <hyperlinks>
    <hyperlink ref="A1" location="index!A1" display="Back to Index" xr:uid="{00000000-0004-0000-0400-000000000000}"/>
  </hyperlinks>
  <pageMargins left="0.7" right="0.7" top="0.75" bottom="0.75" header="0.3" footer="0.3"/>
  <pageSetup paperSize="9"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tabColor theme="7" tint="0.39997558519241921"/>
  </sheetPr>
  <dimension ref="A1:G14"/>
  <sheetViews>
    <sheetView workbookViewId="0"/>
  </sheetViews>
  <sheetFormatPr baseColWidth="10" defaultColWidth="8.83203125" defaultRowHeight="15" x14ac:dyDescent="0.2"/>
  <cols>
    <col min="1" max="1" width="8.5" customWidth="1"/>
    <col min="2" max="2" width="24.5" customWidth="1"/>
    <col min="3" max="3" width="12.83203125" customWidth="1"/>
    <col min="4" max="4" width="16" customWidth="1"/>
    <col min="5" max="5" width="24" customWidth="1"/>
    <col min="6" max="6" width="12.33203125" customWidth="1"/>
    <col min="7" max="7" width="61.5" customWidth="1"/>
  </cols>
  <sheetData>
    <row r="1" spans="1:7" ht="24" x14ac:dyDescent="0.3">
      <c r="A1" s="6" t="s">
        <v>13</v>
      </c>
      <c r="B1" s="1"/>
      <c r="G1" s="1"/>
    </row>
    <row r="3" spans="1:7" ht="24" x14ac:dyDescent="0.3">
      <c r="A3" s="316" t="str">
        <f>Index!A1</f>
        <v>Online Boutique Requirements Specification</v>
      </c>
      <c r="B3" s="316"/>
      <c r="C3" s="316"/>
      <c r="D3" s="316"/>
      <c r="E3" s="316"/>
      <c r="F3" s="316"/>
      <c r="G3" s="316"/>
    </row>
    <row r="4" spans="1:7" ht="24" x14ac:dyDescent="0.3">
      <c r="A4" s="317" t="s">
        <v>583</v>
      </c>
      <c r="B4" s="317"/>
      <c r="C4" s="317"/>
      <c r="D4" s="317"/>
      <c r="E4" s="317"/>
      <c r="F4" s="317"/>
      <c r="G4" s="317"/>
    </row>
    <row r="5" spans="1:7" ht="34.5" customHeight="1" x14ac:dyDescent="0.2"/>
    <row r="6" spans="1:7" ht="21" customHeight="1" x14ac:dyDescent="0.2">
      <c r="A6" s="177" t="s">
        <v>21</v>
      </c>
      <c r="B6" s="176" t="s">
        <v>127</v>
      </c>
      <c r="C6" s="236" t="s">
        <v>22</v>
      </c>
      <c r="D6" s="236" t="s">
        <v>210</v>
      </c>
      <c r="E6" s="236" t="s">
        <v>211</v>
      </c>
      <c r="F6" s="236" t="s">
        <v>20</v>
      </c>
      <c r="G6" s="178" t="s">
        <v>2</v>
      </c>
    </row>
    <row r="7" spans="1:7" x14ac:dyDescent="0.2">
      <c r="A7" s="143" t="s">
        <v>242</v>
      </c>
      <c r="B7" s="53" t="s">
        <v>243</v>
      </c>
      <c r="C7" s="53" t="s">
        <v>212</v>
      </c>
      <c r="D7" s="53"/>
      <c r="E7" s="53" t="s">
        <v>244</v>
      </c>
      <c r="F7" s="54"/>
      <c r="G7" s="125" t="s">
        <v>245</v>
      </c>
    </row>
    <row r="8" spans="1:7" x14ac:dyDescent="0.2">
      <c r="A8" s="143"/>
      <c r="B8" s="53"/>
      <c r="C8" s="53"/>
      <c r="D8" s="53"/>
      <c r="E8" s="53"/>
      <c r="F8" s="54"/>
      <c r="G8" s="125"/>
    </row>
    <row r="9" spans="1:7" x14ac:dyDescent="0.2">
      <c r="A9" s="143"/>
      <c r="B9" s="53"/>
      <c r="C9" s="53"/>
      <c r="D9" s="53"/>
      <c r="E9" s="53"/>
      <c r="F9" s="54"/>
      <c r="G9" s="125"/>
    </row>
    <row r="10" spans="1:7" x14ac:dyDescent="0.2">
      <c r="A10" s="143"/>
      <c r="B10" s="53"/>
      <c r="C10" s="53"/>
      <c r="D10" s="53"/>
      <c r="E10" s="53"/>
      <c r="F10" s="54"/>
      <c r="G10" s="125"/>
    </row>
    <row r="11" spans="1:7" x14ac:dyDescent="0.2">
      <c r="A11" s="143"/>
      <c r="B11" s="53"/>
      <c r="C11" s="53"/>
      <c r="D11" s="53"/>
      <c r="E11" s="53"/>
      <c r="F11" s="54"/>
      <c r="G11" s="125"/>
    </row>
    <row r="12" spans="1:7" x14ac:dyDescent="0.2">
      <c r="A12" s="143"/>
      <c r="B12" s="53"/>
      <c r="C12" s="53"/>
      <c r="D12" s="53"/>
      <c r="E12" s="53"/>
      <c r="F12" s="54"/>
      <c r="G12" s="125"/>
    </row>
    <row r="13" spans="1:7" x14ac:dyDescent="0.2">
      <c r="A13" s="143"/>
      <c r="B13" s="53"/>
      <c r="C13" s="53"/>
      <c r="D13" s="53"/>
      <c r="E13" s="53"/>
      <c r="F13" s="54"/>
      <c r="G13" s="125"/>
    </row>
    <row r="14" spans="1:7" x14ac:dyDescent="0.2">
      <c r="A14" s="144"/>
      <c r="B14" s="141"/>
      <c r="C14" s="141"/>
      <c r="D14" s="141"/>
      <c r="E14" s="141"/>
      <c r="F14" s="91"/>
      <c r="G14" s="142"/>
    </row>
  </sheetData>
  <mergeCells count="2">
    <mergeCell ref="A3:G3"/>
    <mergeCell ref="A4:G4"/>
  </mergeCells>
  <dataValidations count="3">
    <dataValidation type="list" allowBlank="1" showInputMessage="1" showErrorMessage="1" sqref="C7:C14" xr:uid="{00000000-0002-0000-0500-000000000000}">
      <formula1>N_ActiveTaskType</formula1>
    </dataValidation>
    <dataValidation type="list" allowBlank="1" showInputMessage="1" showErrorMessage="1" sqref="D7:E14" xr:uid="{00000000-0002-0000-0500-000001000000}">
      <formula1>ID_Stakeholder</formula1>
    </dataValidation>
    <dataValidation type="list" allowBlank="1" showInputMessage="1" showErrorMessage="1" sqref="F7:F14" xr:uid="{00000000-0002-0000-0500-000002000000}">
      <formula1>ID_ActiveTask</formula1>
    </dataValidation>
  </dataValidations>
  <hyperlinks>
    <hyperlink ref="A1" location="index!A1" display="Back to Index" xr:uid="{00000000-0004-0000-0500-000000000000}"/>
  </hyperlink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theme="7" tint="0.39997558519241921"/>
  </sheetPr>
  <dimension ref="A1:G17"/>
  <sheetViews>
    <sheetView workbookViewId="0"/>
  </sheetViews>
  <sheetFormatPr baseColWidth="10" defaultColWidth="8.83203125" defaultRowHeight="15" x14ac:dyDescent="0.2"/>
  <cols>
    <col min="1" max="1" width="8.1640625" customWidth="1"/>
    <col min="2" max="2" width="31" customWidth="1"/>
    <col min="3" max="3" width="12.83203125" customWidth="1"/>
    <col min="4" max="4" width="10.1640625" customWidth="1"/>
    <col min="5" max="5" width="9.1640625" customWidth="1"/>
    <col min="6" max="6" width="14.1640625" customWidth="1"/>
    <col min="7" max="7" width="64.6640625" customWidth="1"/>
  </cols>
  <sheetData>
    <row r="1" spans="1:7" ht="24" x14ac:dyDescent="0.3">
      <c r="A1" s="6" t="s">
        <v>13</v>
      </c>
      <c r="B1" s="1"/>
      <c r="G1" s="1"/>
    </row>
    <row r="3" spans="1:7" ht="24" x14ac:dyDescent="0.3">
      <c r="A3" s="316" t="str">
        <f>Index!A1</f>
        <v>Online Boutique Requirements Specification</v>
      </c>
      <c r="B3" s="316"/>
      <c r="C3" s="316"/>
      <c r="D3" s="316"/>
      <c r="E3" s="316"/>
      <c r="F3" s="316"/>
      <c r="G3" s="316"/>
    </row>
    <row r="4" spans="1:7" ht="24" x14ac:dyDescent="0.3">
      <c r="A4" s="317" t="s">
        <v>207</v>
      </c>
      <c r="B4" s="317"/>
      <c r="C4" s="317"/>
      <c r="D4" s="317"/>
      <c r="E4" s="317"/>
      <c r="F4" s="317"/>
      <c r="G4" s="317"/>
    </row>
    <row r="5" spans="1:7" ht="34.5" customHeight="1" x14ac:dyDescent="0.2"/>
    <row r="6" spans="1:7" ht="19.5" customHeight="1" x14ac:dyDescent="0.2">
      <c r="A6" s="177" t="s">
        <v>21</v>
      </c>
      <c r="B6" s="176" t="s">
        <v>127</v>
      </c>
      <c r="C6" s="236" t="s">
        <v>22</v>
      </c>
      <c r="D6" s="236" t="s">
        <v>208</v>
      </c>
      <c r="E6" s="236" t="s">
        <v>209</v>
      </c>
      <c r="F6" s="236" t="s">
        <v>210</v>
      </c>
      <c r="G6" s="178" t="s">
        <v>2</v>
      </c>
    </row>
    <row r="7" spans="1:7" x14ac:dyDescent="0.2">
      <c r="A7" s="143" t="s">
        <v>260</v>
      </c>
      <c r="B7" s="53" t="s">
        <v>1</v>
      </c>
      <c r="C7" s="53" t="s">
        <v>90</v>
      </c>
      <c r="D7" s="53" t="s">
        <v>33</v>
      </c>
      <c r="E7" s="53" t="s">
        <v>34</v>
      </c>
      <c r="F7" s="54" t="s">
        <v>261</v>
      </c>
      <c r="G7" s="125" t="s">
        <v>174</v>
      </c>
    </row>
    <row r="8" spans="1:7" x14ac:dyDescent="0.2">
      <c r="A8" s="143"/>
      <c r="B8" s="53"/>
      <c r="C8" s="53"/>
      <c r="D8" s="53"/>
      <c r="E8" s="53"/>
      <c r="F8" s="54"/>
      <c r="G8" s="125"/>
    </row>
    <row r="9" spans="1:7" x14ac:dyDescent="0.2">
      <c r="A9" s="143"/>
      <c r="B9" s="53"/>
      <c r="C9" s="53"/>
      <c r="D9" s="53"/>
      <c r="E9" s="53"/>
      <c r="F9" s="54"/>
      <c r="G9" s="125"/>
    </row>
    <row r="10" spans="1:7" x14ac:dyDescent="0.2">
      <c r="A10" s="143"/>
      <c r="B10" s="53"/>
      <c r="C10" s="53"/>
      <c r="D10" s="53"/>
      <c r="E10" s="53"/>
      <c r="F10" s="54"/>
      <c r="G10" s="125"/>
    </row>
    <row r="11" spans="1:7" x14ac:dyDescent="0.2">
      <c r="A11" s="143"/>
      <c r="B11" s="53"/>
      <c r="C11" s="53"/>
      <c r="D11" s="53"/>
      <c r="E11" s="53"/>
      <c r="F11" s="54"/>
      <c r="G11" s="125"/>
    </row>
    <row r="12" spans="1:7" x14ac:dyDescent="0.2">
      <c r="A12" s="143"/>
      <c r="B12" s="53"/>
      <c r="C12" s="53"/>
      <c r="D12" s="53"/>
      <c r="E12" s="53"/>
      <c r="F12" s="54"/>
      <c r="G12" s="125"/>
    </row>
    <row r="13" spans="1:7" x14ac:dyDescent="0.2">
      <c r="A13" s="143"/>
      <c r="B13" s="53"/>
      <c r="C13" s="53"/>
      <c r="D13" s="53"/>
      <c r="E13" s="53"/>
      <c r="F13" s="54"/>
      <c r="G13" s="125"/>
    </row>
    <row r="14" spans="1:7" x14ac:dyDescent="0.2">
      <c r="A14" s="143"/>
      <c r="B14" s="53"/>
      <c r="C14" s="53"/>
      <c r="D14" s="53"/>
      <c r="E14" s="53"/>
      <c r="F14" s="54"/>
      <c r="G14" s="125"/>
    </row>
    <row r="15" spans="1:7" x14ac:dyDescent="0.2">
      <c r="A15" s="143"/>
      <c r="B15" s="53"/>
      <c r="C15" s="53"/>
      <c r="D15" s="53"/>
      <c r="E15" s="53"/>
      <c r="F15" s="54"/>
      <c r="G15" s="125"/>
    </row>
    <row r="16" spans="1:7" x14ac:dyDescent="0.2">
      <c r="A16" s="143"/>
      <c r="B16" s="53"/>
      <c r="C16" s="53"/>
      <c r="D16" s="53"/>
      <c r="E16" s="53"/>
      <c r="F16" s="54"/>
      <c r="G16" s="125"/>
    </row>
    <row r="17" spans="1:7" x14ac:dyDescent="0.2">
      <c r="A17" s="144"/>
      <c r="B17" s="141"/>
      <c r="C17" s="141"/>
      <c r="D17" s="141"/>
      <c r="E17" s="141"/>
      <c r="F17" s="91"/>
      <c r="G17" s="142"/>
    </row>
  </sheetData>
  <mergeCells count="2">
    <mergeCell ref="A3:G3"/>
    <mergeCell ref="A4:G4"/>
  </mergeCells>
  <dataValidations count="3">
    <dataValidation type="list" allowBlank="1" showInputMessage="1" showErrorMessage="1" sqref="C7:C17" xr:uid="{00000000-0002-0000-0600-000000000000}">
      <formula1>N_ActiveEventType</formula1>
    </dataValidation>
    <dataValidation type="list" allowBlank="1" showInputMessage="1" showErrorMessage="1" sqref="D7:E17" xr:uid="{00000000-0002-0000-0600-000001000000}">
      <formula1>N_Boolean</formula1>
    </dataValidation>
    <dataValidation type="list" allowBlank="1" showInputMessage="1" showErrorMessage="1" sqref="F7:F17" xr:uid="{00000000-0002-0000-0600-000002000000}">
      <formula1>ID_Stakeholder</formula1>
    </dataValidation>
  </dataValidations>
  <hyperlinks>
    <hyperlink ref="A1" location="index!A1" display="Back to Index" xr:uid="{00000000-0004-0000-0600-000000000000}"/>
  </hyperlink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7" tint="0.39997558519241921"/>
  </sheetPr>
  <dimension ref="A1:E17"/>
  <sheetViews>
    <sheetView workbookViewId="0"/>
  </sheetViews>
  <sheetFormatPr baseColWidth="10" defaultColWidth="8.83203125" defaultRowHeight="15" x14ac:dyDescent="0.2"/>
  <cols>
    <col min="1" max="1" width="17.83203125" customWidth="1"/>
    <col min="2" max="2" width="12.83203125" customWidth="1"/>
    <col min="3" max="3" width="20.6640625" customWidth="1"/>
    <col min="4" max="4" width="23.1640625" customWidth="1"/>
    <col min="5" max="5" width="54.6640625" customWidth="1"/>
  </cols>
  <sheetData>
    <row r="1" spans="1:5" ht="24" x14ac:dyDescent="0.3">
      <c r="A1" s="6" t="s">
        <v>13</v>
      </c>
      <c r="E1" s="1"/>
    </row>
    <row r="3" spans="1:5" ht="24" x14ac:dyDescent="0.3">
      <c r="A3" s="316" t="str">
        <f>Index!A1</f>
        <v>Online Boutique Requirements Specification</v>
      </c>
      <c r="B3" s="316"/>
      <c r="C3" s="316"/>
      <c r="D3" s="316"/>
      <c r="E3" s="316"/>
    </row>
    <row r="4" spans="1:5" ht="24" x14ac:dyDescent="0.3">
      <c r="A4" s="317" t="s">
        <v>213</v>
      </c>
      <c r="B4" s="317"/>
      <c r="C4" s="317"/>
      <c r="D4" s="317"/>
      <c r="E4" s="317"/>
    </row>
    <row r="5" spans="1:5" ht="34.5" customHeight="1" x14ac:dyDescent="0.2"/>
    <row r="6" spans="1:5" ht="17" x14ac:dyDescent="0.2">
      <c r="A6" s="177" t="s">
        <v>21</v>
      </c>
      <c r="B6" s="236" t="s">
        <v>22</v>
      </c>
      <c r="C6" s="176" t="s">
        <v>214</v>
      </c>
      <c r="D6" s="176" t="s">
        <v>215</v>
      </c>
      <c r="E6" s="178" t="s">
        <v>2</v>
      </c>
    </row>
    <row r="7" spans="1:5" x14ac:dyDescent="0.2">
      <c r="A7" s="143" t="s">
        <v>279</v>
      </c>
      <c r="B7" s="53" t="s">
        <v>216</v>
      </c>
      <c r="C7" s="53" t="s">
        <v>214</v>
      </c>
      <c r="D7" s="53" t="s">
        <v>280</v>
      </c>
      <c r="E7" s="125" t="s">
        <v>2</v>
      </c>
    </row>
    <row r="8" spans="1:5" x14ac:dyDescent="0.2">
      <c r="A8" s="143"/>
      <c r="B8" s="53"/>
      <c r="C8" s="53"/>
      <c r="D8" s="53"/>
      <c r="E8" s="125"/>
    </row>
    <row r="9" spans="1:5" x14ac:dyDescent="0.2">
      <c r="A9" s="143"/>
      <c r="B9" s="53"/>
      <c r="C9" s="53"/>
      <c r="D9" s="53"/>
      <c r="E9" s="125"/>
    </row>
    <row r="10" spans="1:5" x14ac:dyDescent="0.2">
      <c r="A10" s="143"/>
      <c r="B10" s="53"/>
      <c r="C10" s="53"/>
      <c r="D10" s="53"/>
      <c r="E10" s="125"/>
    </row>
    <row r="11" spans="1:5" x14ac:dyDescent="0.2">
      <c r="A11" s="143"/>
      <c r="B11" s="53"/>
      <c r="C11" s="53"/>
      <c r="D11" s="53"/>
      <c r="E11" s="125"/>
    </row>
    <row r="12" spans="1:5" x14ac:dyDescent="0.2">
      <c r="A12" s="143"/>
      <c r="B12" s="53"/>
      <c r="C12" s="53"/>
      <c r="D12" s="53"/>
      <c r="E12" s="125"/>
    </row>
    <row r="13" spans="1:5" x14ac:dyDescent="0.2">
      <c r="A13" s="143"/>
      <c r="B13" s="53"/>
      <c r="C13" s="53"/>
      <c r="D13" s="53"/>
      <c r="E13" s="125"/>
    </row>
    <row r="14" spans="1:5" x14ac:dyDescent="0.2">
      <c r="A14" s="143"/>
      <c r="B14" s="53"/>
      <c r="C14" s="53"/>
      <c r="D14" s="53"/>
      <c r="E14" s="125"/>
    </row>
    <row r="15" spans="1:5" x14ac:dyDescent="0.2">
      <c r="A15" s="143"/>
      <c r="B15" s="53"/>
      <c r="C15" s="53"/>
      <c r="D15" s="53"/>
      <c r="E15" s="125"/>
    </row>
    <row r="16" spans="1:5" x14ac:dyDescent="0.2">
      <c r="A16" s="143"/>
      <c r="B16" s="53"/>
      <c r="C16" s="53"/>
      <c r="D16" s="53"/>
      <c r="E16" s="125"/>
    </row>
    <row r="17" spans="1:5" x14ac:dyDescent="0.2">
      <c r="A17" s="144"/>
      <c r="B17" s="141"/>
      <c r="C17" s="141"/>
      <c r="D17" s="141"/>
      <c r="E17" s="142"/>
    </row>
  </sheetData>
  <mergeCells count="2">
    <mergeCell ref="A3:E3"/>
    <mergeCell ref="A4:E4"/>
  </mergeCells>
  <dataValidations count="1">
    <dataValidation type="list" allowBlank="1" showInputMessage="1" showErrorMessage="1" sqref="B7:B17" xr:uid="{00000000-0002-0000-0700-000000000000}">
      <formula1>N_ActiveFlowType</formula1>
    </dataValidation>
  </dataValidations>
  <hyperlinks>
    <hyperlink ref="A1" location="index!A1" display="Back to Index" xr:uid="{00000000-0004-0000-0700-000000000000}"/>
  </hyperlink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7" tint="0.39997558519241921"/>
  </sheetPr>
  <dimension ref="A1:I17"/>
  <sheetViews>
    <sheetView workbookViewId="0"/>
  </sheetViews>
  <sheetFormatPr baseColWidth="10" defaultColWidth="8.83203125" defaultRowHeight="15" x14ac:dyDescent="0.2"/>
  <cols>
    <col min="1" max="1" width="13.5" customWidth="1"/>
    <col min="2" max="2" width="21.5" customWidth="1"/>
    <col min="3" max="3" width="22.5" customWidth="1"/>
    <col min="4" max="4" width="23.5" customWidth="1"/>
    <col min="5" max="5" width="17.1640625" customWidth="1"/>
    <col min="6" max="6" width="17.5" customWidth="1"/>
    <col min="7" max="7" width="22.33203125" customWidth="1"/>
    <col min="8" max="8" width="29.5" customWidth="1"/>
    <col min="9" max="9" width="22.6640625" customWidth="1"/>
  </cols>
  <sheetData>
    <row r="1" spans="1:9" x14ac:dyDescent="0.2">
      <c r="A1" s="6" t="s">
        <v>13</v>
      </c>
    </row>
    <row r="2" spans="1:9" ht="13.5" customHeight="1" x14ac:dyDescent="0.3">
      <c r="A2" s="1"/>
    </row>
    <row r="3" spans="1:9" ht="24" x14ac:dyDescent="0.3">
      <c r="A3" s="316" t="str">
        <f>Index!A1</f>
        <v>Online Boutique Requirements Specification</v>
      </c>
      <c r="B3" s="316"/>
      <c r="C3" s="316"/>
      <c r="D3" s="316"/>
      <c r="E3" s="316"/>
      <c r="F3" s="316"/>
      <c r="G3" s="316"/>
      <c r="H3" s="316"/>
      <c r="I3" s="316"/>
    </row>
    <row r="4" spans="1:9" ht="24" x14ac:dyDescent="0.3">
      <c r="A4" s="317" t="s">
        <v>365</v>
      </c>
      <c r="B4" s="317"/>
      <c r="C4" s="317"/>
      <c r="D4" s="317"/>
      <c r="E4" s="317"/>
      <c r="F4" s="317"/>
      <c r="G4" s="317"/>
      <c r="H4" s="317"/>
      <c r="I4" s="317"/>
    </row>
    <row r="5" spans="1:9" ht="34.5" customHeight="1" x14ac:dyDescent="0.2"/>
    <row r="6" spans="1:9" ht="13.5" customHeight="1" x14ac:dyDescent="0.2">
      <c r="A6" s="23" t="s">
        <v>120</v>
      </c>
      <c r="B6" s="27"/>
    </row>
    <row r="7" spans="1:9" ht="13.5" customHeight="1" x14ac:dyDescent="0.2">
      <c r="A7" s="46" t="s">
        <v>121</v>
      </c>
      <c r="B7" s="24"/>
      <c r="C7" s="24"/>
      <c r="D7" s="24"/>
      <c r="E7" s="24"/>
    </row>
    <row r="8" spans="1:9" ht="13.5" customHeight="1" x14ac:dyDescent="0.2">
      <c r="A8" s="36" t="s">
        <v>110</v>
      </c>
      <c r="C8" s="24"/>
      <c r="D8" s="24"/>
      <c r="E8" s="24"/>
    </row>
    <row r="9" spans="1:9" ht="18.75" customHeight="1" x14ac:dyDescent="0.2">
      <c r="C9" s="24"/>
      <c r="D9" s="24"/>
      <c r="E9" s="24"/>
    </row>
    <row r="10" spans="1:9" ht="15.75" customHeight="1" x14ac:dyDescent="0.2">
      <c r="A10" s="33" t="s">
        <v>579</v>
      </c>
    </row>
    <row r="11" spans="1:9" ht="25.5" customHeight="1" x14ac:dyDescent="0.2">
      <c r="A11" s="14" t="s">
        <v>21</v>
      </c>
      <c r="B11" s="14" t="s">
        <v>127</v>
      </c>
      <c r="C11" s="4" t="s">
        <v>353</v>
      </c>
      <c r="D11" s="327" t="s">
        <v>2</v>
      </c>
      <c r="E11" s="328"/>
      <c r="F11" s="328"/>
      <c r="G11" s="328"/>
      <c r="H11" s="328"/>
      <c r="I11" s="329"/>
    </row>
    <row r="12" spans="1:9" ht="18.75" customHeight="1" x14ac:dyDescent="0.2">
      <c r="A12" s="22"/>
      <c r="D12" s="30" t="s">
        <v>265</v>
      </c>
      <c r="E12" s="30" t="s">
        <v>266</v>
      </c>
      <c r="F12" s="330" t="s">
        <v>267</v>
      </c>
      <c r="G12" s="330"/>
      <c r="H12" s="331" t="s">
        <v>268</v>
      </c>
      <c r="I12" s="331"/>
    </row>
    <row r="13" spans="1:9" ht="22.5" customHeight="1" x14ac:dyDescent="0.2">
      <c r="A13" s="47"/>
      <c r="B13" s="48"/>
      <c r="C13" s="48"/>
      <c r="D13" s="48"/>
      <c r="E13" s="48"/>
      <c r="F13" s="332" t="s">
        <v>269</v>
      </c>
      <c r="G13" s="333"/>
      <c r="H13" s="333"/>
      <c r="I13" s="334"/>
    </row>
    <row r="14" spans="1:9" ht="22.5" customHeight="1" x14ac:dyDescent="0.2">
      <c r="A14" s="31"/>
      <c r="B14" s="32"/>
      <c r="C14" s="32"/>
      <c r="D14" s="32"/>
      <c r="E14" s="32"/>
      <c r="F14" s="332" t="s">
        <v>111</v>
      </c>
      <c r="G14" s="334"/>
      <c r="H14" s="49" t="s">
        <v>270</v>
      </c>
      <c r="I14" s="49" t="s">
        <v>271</v>
      </c>
    </row>
    <row r="15" spans="1:9" ht="25.5" customHeight="1" x14ac:dyDescent="0.2">
      <c r="A15" s="62" t="s">
        <v>272</v>
      </c>
      <c r="B15" s="62" t="s">
        <v>167</v>
      </c>
      <c r="C15" s="64" t="s">
        <v>246</v>
      </c>
      <c r="D15" s="326" t="s">
        <v>2</v>
      </c>
      <c r="E15" s="326"/>
      <c r="F15" s="326"/>
      <c r="G15" s="326"/>
      <c r="H15" s="326"/>
      <c r="I15" s="326"/>
    </row>
    <row r="16" spans="1:9" ht="18.75" customHeight="1" x14ac:dyDescent="0.2">
      <c r="A16" s="98"/>
      <c r="B16" s="99"/>
      <c r="C16" s="100"/>
      <c r="D16" s="101" t="s">
        <v>273</v>
      </c>
      <c r="E16" s="101" t="s">
        <v>354</v>
      </c>
      <c r="F16" s="325" t="s">
        <v>168</v>
      </c>
      <c r="G16" s="325"/>
      <c r="H16" s="325" t="s">
        <v>169</v>
      </c>
      <c r="I16" s="325"/>
    </row>
    <row r="17" spans="1:9" ht="22.5" customHeight="1" x14ac:dyDescent="0.2">
      <c r="A17" s="102"/>
      <c r="B17" s="103"/>
      <c r="C17" s="103"/>
      <c r="D17" s="103"/>
      <c r="E17" s="104"/>
      <c r="F17" s="323" t="s">
        <v>262</v>
      </c>
      <c r="G17" s="324"/>
      <c r="H17" s="15" t="s">
        <v>356</v>
      </c>
      <c r="I17" s="15" t="s">
        <v>274</v>
      </c>
    </row>
  </sheetData>
  <dataConsolidate/>
  <mergeCells count="11">
    <mergeCell ref="F17:G17"/>
    <mergeCell ref="A3:I3"/>
    <mergeCell ref="A4:I4"/>
    <mergeCell ref="F16:G16"/>
    <mergeCell ref="H16:I16"/>
    <mergeCell ref="D15:I15"/>
    <mergeCell ref="D11:I11"/>
    <mergeCell ref="F12:G12"/>
    <mergeCell ref="H12:I12"/>
    <mergeCell ref="F13:I13"/>
    <mergeCell ref="F14:G14"/>
  </mergeCells>
  <dataValidations count="3">
    <dataValidation type="list" allowBlank="1" showInputMessage="1" showErrorMessage="1" sqref="G16" xr:uid="{00000000-0002-0000-0800-000000000000}">
      <formula1>AttributeType</formula1>
    </dataValidation>
    <dataValidation type="list" allowBlank="1" showInputMessage="1" showErrorMessage="1" sqref="A10" xr:uid="{00000000-0002-0000-0800-000001000000}">
      <formula1>ID_System</formula1>
    </dataValidation>
    <dataValidation type="list" allowBlank="1" showInputMessage="1" showErrorMessage="1" sqref="E16" xr:uid="{00000000-0002-0000-0800-000002000000}">
      <formula1>#REF!</formula1>
    </dataValidation>
  </dataValidations>
  <hyperlinks>
    <hyperlink ref="A1" location="index!A1" display="Back to Index" xr:uid="{00000000-0004-0000-0800-000000000000}"/>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lha1">
    <tabColor rgb="FFB2E8B7"/>
  </sheetPr>
  <dimension ref="A1:L34"/>
  <sheetViews>
    <sheetView workbookViewId="0"/>
  </sheetViews>
  <sheetFormatPr baseColWidth="10" defaultColWidth="9.1640625" defaultRowHeight="15" x14ac:dyDescent="0.2"/>
  <cols>
    <col min="1" max="1" width="15.5" customWidth="1"/>
    <col min="2" max="2" width="21.5" customWidth="1"/>
    <col min="3" max="3" width="33.6640625" customWidth="1"/>
    <col min="4" max="4" width="22.5" customWidth="1"/>
    <col min="5" max="5" width="23.1640625" customWidth="1"/>
    <col min="6" max="6" width="13.83203125" customWidth="1"/>
    <col min="7" max="7" width="16.5" customWidth="1"/>
    <col min="8" max="8" width="16.6640625" customWidth="1"/>
    <col min="9" max="9" width="12.6640625" customWidth="1"/>
    <col min="11" max="11" width="10.83203125" customWidth="1"/>
    <col min="12" max="12" width="10.6640625" customWidth="1"/>
    <col min="13" max="13" width="12.5" customWidth="1"/>
  </cols>
  <sheetData>
    <row r="1" spans="1:12" x14ac:dyDescent="0.2">
      <c r="A1" s="6" t="s">
        <v>13</v>
      </c>
    </row>
    <row r="2" spans="1:12" ht="13.5" customHeight="1" x14ac:dyDescent="0.3">
      <c r="A2" s="1"/>
    </row>
    <row r="3" spans="1:12" ht="24" x14ac:dyDescent="0.3">
      <c r="A3" s="316" t="str">
        <f>Index!A1</f>
        <v>Online Boutique Requirements Specification</v>
      </c>
      <c r="B3" s="316"/>
      <c r="C3" s="316"/>
      <c r="D3" s="316"/>
      <c r="E3" s="316"/>
      <c r="F3" s="316"/>
      <c r="G3" s="316"/>
      <c r="H3" s="316"/>
      <c r="I3" s="316"/>
      <c r="J3" s="316"/>
      <c r="K3" s="316"/>
      <c r="L3" s="316"/>
    </row>
    <row r="4" spans="1:12" ht="24" x14ac:dyDescent="0.3">
      <c r="A4" s="317" t="s">
        <v>732</v>
      </c>
      <c r="B4" s="317"/>
      <c r="C4" s="317"/>
      <c r="D4" s="317"/>
      <c r="E4" s="317"/>
      <c r="F4" s="317"/>
      <c r="G4" s="317"/>
      <c r="H4" s="317"/>
      <c r="I4" s="317"/>
      <c r="J4" s="317"/>
      <c r="K4" s="317"/>
      <c r="L4" s="317"/>
    </row>
    <row r="5" spans="1:12" ht="34.5" customHeight="1" x14ac:dyDescent="0.2"/>
    <row r="6" spans="1:12" ht="13.5" customHeight="1" x14ac:dyDescent="0.2">
      <c r="A6" s="23" t="s">
        <v>6</v>
      </c>
    </row>
    <row r="7" spans="1:12" ht="13.5" customHeight="1" x14ac:dyDescent="0.2">
      <c r="A7" s="25" t="s">
        <v>11</v>
      </c>
      <c r="C7" s="315"/>
      <c r="D7" s="315"/>
      <c r="E7" s="24"/>
    </row>
    <row r="8" spans="1:12" ht="13.5" customHeight="1" x14ac:dyDescent="0.2">
      <c r="A8" s="26" t="s">
        <v>27</v>
      </c>
      <c r="B8" s="27"/>
      <c r="C8" s="315"/>
      <c r="D8" s="315"/>
      <c r="E8" s="24"/>
    </row>
    <row r="9" spans="1:12" ht="18.75" customHeight="1" x14ac:dyDescent="0.2">
      <c r="A9" s="26"/>
      <c r="B9" s="27"/>
      <c r="C9" s="24"/>
      <c r="D9" s="24"/>
      <c r="E9" s="24"/>
    </row>
    <row r="10" spans="1:12" ht="25.5" customHeight="1" x14ac:dyDescent="0.2">
      <c r="A10" s="14" t="s">
        <v>21</v>
      </c>
      <c r="B10" s="14" t="s">
        <v>127</v>
      </c>
      <c r="C10" s="4" t="s">
        <v>2</v>
      </c>
      <c r="D10" s="4" t="s">
        <v>22</v>
      </c>
      <c r="E10" s="4" t="s">
        <v>18</v>
      </c>
      <c r="F10" s="50" t="s">
        <v>301</v>
      </c>
      <c r="G10" s="51"/>
      <c r="H10" s="52"/>
      <c r="I10" s="52"/>
      <c r="J10" s="52"/>
      <c r="K10" s="52"/>
      <c r="L10" s="52"/>
    </row>
    <row r="11" spans="1:12" ht="18.75" customHeight="1" x14ac:dyDescent="0.2">
      <c r="D11" s="336" t="s">
        <v>302</v>
      </c>
      <c r="E11" s="337"/>
      <c r="F11" s="337"/>
      <c r="G11" s="337"/>
      <c r="H11" s="337"/>
      <c r="I11" s="337"/>
      <c r="J11" s="337"/>
      <c r="K11" s="337"/>
      <c r="L11" s="338"/>
    </row>
    <row r="12" spans="1:12" ht="18.75" customHeight="1" x14ac:dyDescent="0.2">
      <c r="D12" s="43" t="s">
        <v>21</v>
      </c>
      <c r="E12" s="43" t="s">
        <v>1</v>
      </c>
      <c r="F12" s="2" t="s">
        <v>2</v>
      </c>
      <c r="G12" s="2" t="s">
        <v>5</v>
      </c>
      <c r="H12" s="2" t="s">
        <v>303</v>
      </c>
      <c r="I12" s="43" t="s">
        <v>304</v>
      </c>
      <c r="J12" s="43" t="s">
        <v>305</v>
      </c>
      <c r="K12" s="43" t="s">
        <v>306</v>
      </c>
      <c r="L12" s="43" t="s">
        <v>307</v>
      </c>
    </row>
    <row r="13" spans="1:12" ht="18.75" customHeight="1" x14ac:dyDescent="0.2">
      <c r="D13" s="336" t="s">
        <v>26</v>
      </c>
      <c r="E13" s="337"/>
      <c r="F13" s="337"/>
      <c r="G13" s="337"/>
      <c r="H13" s="337"/>
      <c r="I13" s="337"/>
      <c r="J13" s="337"/>
      <c r="K13" s="337"/>
      <c r="L13" s="338"/>
    </row>
    <row r="14" spans="1:12" ht="18.75" customHeight="1" x14ac:dyDescent="0.2">
      <c r="D14" s="43" t="s">
        <v>308</v>
      </c>
      <c r="E14" s="43" t="s">
        <v>309</v>
      </c>
      <c r="F14" s="43"/>
      <c r="G14" s="345"/>
      <c r="H14" s="346"/>
      <c r="I14" s="346"/>
      <c r="J14" s="346"/>
      <c r="K14" s="346"/>
      <c r="L14" s="347"/>
    </row>
    <row r="15" spans="1:12" ht="18.75" customHeight="1" x14ac:dyDescent="0.2">
      <c r="D15" s="336" t="s">
        <v>310</v>
      </c>
      <c r="E15" s="337"/>
      <c r="F15" s="337"/>
      <c r="G15" s="337"/>
      <c r="H15" s="337"/>
      <c r="I15" s="337"/>
      <c r="J15" s="337"/>
      <c r="K15" s="337"/>
      <c r="L15" s="338"/>
    </row>
    <row r="16" spans="1:12" ht="18.75" customHeight="1" x14ac:dyDescent="0.2">
      <c r="D16" s="43" t="s">
        <v>21</v>
      </c>
      <c r="E16" s="339" t="s">
        <v>311</v>
      </c>
      <c r="F16" s="340"/>
      <c r="G16" s="340"/>
      <c r="H16" s="340"/>
      <c r="I16" s="340"/>
      <c r="J16" s="340"/>
      <c r="K16" s="340"/>
      <c r="L16" s="341"/>
    </row>
    <row r="17" spans="1:12" ht="18.75" customHeight="1" x14ac:dyDescent="0.2">
      <c r="C17" s="24"/>
      <c r="D17" s="24"/>
      <c r="E17" s="24"/>
    </row>
    <row r="18" spans="1:12" ht="21" customHeight="1" x14ac:dyDescent="0.2">
      <c r="A18" s="33" t="s">
        <v>579</v>
      </c>
    </row>
    <row r="19" spans="1:12" ht="18.75" customHeight="1" x14ac:dyDescent="0.2">
      <c r="A19" s="62" t="s">
        <v>469</v>
      </c>
      <c r="B19" s="62" t="s">
        <v>470</v>
      </c>
      <c r="C19" s="63" t="s">
        <v>247</v>
      </c>
      <c r="D19" s="62" t="s">
        <v>24</v>
      </c>
      <c r="E19" s="62" t="s">
        <v>114</v>
      </c>
      <c r="F19" s="64" t="s">
        <v>106</v>
      </c>
      <c r="G19" s="38"/>
      <c r="H19" s="38"/>
      <c r="I19" s="38"/>
      <c r="J19" s="38"/>
      <c r="K19" s="38"/>
      <c r="L19" s="39"/>
    </row>
    <row r="20" spans="1:12" ht="18.75" customHeight="1" x14ac:dyDescent="0.2">
      <c r="A20" s="342"/>
      <c r="B20" s="342"/>
      <c r="C20" s="342" t="s">
        <v>25</v>
      </c>
      <c r="D20" s="15" t="s">
        <v>473</v>
      </c>
      <c r="E20" s="15" t="s">
        <v>480</v>
      </c>
      <c r="F20" s="15" t="s">
        <v>171</v>
      </c>
      <c r="G20" s="15" t="s">
        <v>178</v>
      </c>
      <c r="H20" s="57" t="s">
        <v>172</v>
      </c>
      <c r="I20" s="57" t="s">
        <v>17</v>
      </c>
      <c r="J20" s="57" t="s">
        <v>173</v>
      </c>
      <c r="K20" s="57" t="s">
        <v>34</v>
      </c>
      <c r="L20" s="57" t="s">
        <v>33</v>
      </c>
    </row>
    <row r="21" spans="1:12" ht="18.75" customHeight="1" x14ac:dyDescent="0.2">
      <c r="A21" s="343"/>
      <c r="B21" s="343"/>
      <c r="C21" s="343"/>
      <c r="D21" s="15" t="s">
        <v>474</v>
      </c>
      <c r="E21" s="15" t="s">
        <v>481</v>
      </c>
      <c r="F21" s="15" t="s">
        <v>171</v>
      </c>
      <c r="G21" s="15" t="s">
        <v>178</v>
      </c>
      <c r="H21" s="57" t="s">
        <v>172</v>
      </c>
      <c r="I21" s="57" t="s">
        <v>17</v>
      </c>
      <c r="J21" s="57" t="s">
        <v>173</v>
      </c>
      <c r="K21" s="57" t="s">
        <v>34</v>
      </c>
      <c r="L21" s="57" t="s">
        <v>33</v>
      </c>
    </row>
    <row r="22" spans="1:12" ht="18.75" customHeight="1" x14ac:dyDescent="0.2">
      <c r="A22" s="343"/>
      <c r="B22" s="343"/>
      <c r="C22" s="344"/>
      <c r="D22" s="15" t="s">
        <v>475</v>
      </c>
      <c r="E22" s="15" t="s">
        <v>482</v>
      </c>
      <c r="F22" s="15" t="s">
        <v>171</v>
      </c>
      <c r="G22" s="15" t="s">
        <v>178</v>
      </c>
      <c r="H22" s="57" t="s">
        <v>172</v>
      </c>
      <c r="I22" s="57" t="s">
        <v>17</v>
      </c>
      <c r="J22" s="57" t="s">
        <v>173</v>
      </c>
      <c r="K22" s="57" t="s">
        <v>34</v>
      </c>
      <c r="L22" s="57" t="s">
        <v>33</v>
      </c>
    </row>
    <row r="23" spans="1:12" ht="18.75" customHeight="1" x14ac:dyDescent="0.2">
      <c r="A23" s="343"/>
      <c r="B23" s="343"/>
      <c r="C23" s="342" t="s">
        <v>26</v>
      </c>
      <c r="D23" s="15" t="s">
        <v>476</v>
      </c>
      <c r="E23" s="15" t="s">
        <v>483</v>
      </c>
      <c r="F23" s="57"/>
      <c r="G23" s="58"/>
      <c r="H23" s="59"/>
      <c r="I23" s="59"/>
      <c r="J23" s="59"/>
      <c r="K23" s="59"/>
      <c r="L23" s="60"/>
    </row>
    <row r="24" spans="1:12" ht="18.75" customHeight="1" x14ac:dyDescent="0.2">
      <c r="A24" s="343"/>
      <c r="B24" s="343"/>
      <c r="C24" s="344"/>
      <c r="D24" s="15" t="s">
        <v>477</v>
      </c>
      <c r="E24" s="15" t="s">
        <v>484</v>
      </c>
      <c r="F24" s="57"/>
      <c r="G24" s="58"/>
      <c r="H24" s="59"/>
      <c r="I24" s="59"/>
      <c r="J24" s="59"/>
      <c r="K24" s="59"/>
      <c r="L24" s="60"/>
    </row>
    <row r="25" spans="1:12" ht="18.75" customHeight="1" x14ac:dyDescent="0.2">
      <c r="A25" s="343"/>
      <c r="B25" s="343"/>
      <c r="C25" s="342" t="s">
        <v>107</v>
      </c>
      <c r="D25" s="61" t="s">
        <v>478</v>
      </c>
      <c r="E25" s="323" t="s">
        <v>485</v>
      </c>
      <c r="F25" s="335"/>
      <c r="G25" s="335"/>
      <c r="H25" s="335"/>
      <c r="I25" s="335"/>
      <c r="J25" s="335"/>
      <c r="K25" s="335"/>
      <c r="L25" s="324"/>
    </row>
    <row r="26" spans="1:12" ht="18.75" customHeight="1" x14ac:dyDescent="0.2">
      <c r="A26" s="344"/>
      <c r="B26" s="344"/>
      <c r="C26" s="344"/>
      <c r="D26" s="61" t="s">
        <v>479</v>
      </c>
      <c r="E26" s="323" t="s">
        <v>486</v>
      </c>
      <c r="F26" s="335"/>
      <c r="G26" s="335"/>
      <c r="H26" s="335"/>
      <c r="I26" s="335"/>
      <c r="J26" s="335"/>
      <c r="K26" s="335"/>
      <c r="L26" s="324"/>
    </row>
    <row r="27" spans="1:12" ht="18.75" customHeight="1" x14ac:dyDescent="0.2">
      <c r="A27" s="62" t="s">
        <v>471</v>
      </c>
      <c r="B27" s="62" t="s">
        <v>472</v>
      </c>
      <c r="C27" s="63" t="s">
        <v>247</v>
      </c>
      <c r="D27" s="62" t="s">
        <v>24</v>
      </c>
      <c r="E27" s="62" t="s">
        <v>114</v>
      </c>
      <c r="F27" s="64" t="s">
        <v>106</v>
      </c>
      <c r="G27" s="38"/>
      <c r="H27" s="38"/>
      <c r="I27" s="38"/>
      <c r="J27" s="38"/>
      <c r="K27" s="38"/>
      <c r="L27" s="39"/>
    </row>
    <row r="28" spans="1:12" ht="18.75" customHeight="1" x14ac:dyDescent="0.2">
      <c r="A28" s="342"/>
      <c r="B28" s="342"/>
      <c r="C28" s="342" t="s">
        <v>25</v>
      </c>
      <c r="D28" s="15" t="s">
        <v>473</v>
      </c>
      <c r="E28" s="15" t="s">
        <v>480</v>
      </c>
      <c r="F28" s="15" t="s">
        <v>171</v>
      </c>
      <c r="G28" s="15" t="s">
        <v>178</v>
      </c>
      <c r="H28" s="57" t="s">
        <v>172</v>
      </c>
      <c r="I28" s="57" t="s">
        <v>17</v>
      </c>
      <c r="J28" s="57" t="s">
        <v>173</v>
      </c>
      <c r="K28" s="57" t="s">
        <v>34</v>
      </c>
      <c r="L28" s="57" t="s">
        <v>33</v>
      </c>
    </row>
    <row r="29" spans="1:12" ht="18.75" customHeight="1" x14ac:dyDescent="0.2">
      <c r="A29" s="343"/>
      <c r="B29" s="343"/>
      <c r="C29" s="343"/>
      <c r="D29" s="15" t="s">
        <v>474</v>
      </c>
      <c r="E29" s="15" t="s">
        <v>481</v>
      </c>
      <c r="F29" s="15" t="s">
        <v>171</v>
      </c>
      <c r="G29" s="15" t="s">
        <v>178</v>
      </c>
      <c r="H29" s="57" t="s">
        <v>172</v>
      </c>
      <c r="I29" s="57" t="s">
        <v>17</v>
      </c>
      <c r="J29" s="57" t="s">
        <v>173</v>
      </c>
      <c r="K29" s="57" t="s">
        <v>34</v>
      </c>
      <c r="L29" s="57" t="s">
        <v>33</v>
      </c>
    </row>
    <row r="30" spans="1:12" ht="18.75" customHeight="1" x14ac:dyDescent="0.2">
      <c r="A30" s="343"/>
      <c r="B30" s="343"/>
      <c r="C30" s="344"/>
      <c r="D30" s="15" t="s">
        <v>475</v>
      </c>
      <c r="E30" s="15" t="s">
        <v>482</v>
      </c>
      <c r="F30" s="15" t="s">
        <v>171</v>
      </c>
      <c r="G30" s="15" t="s">
        <v>178</v>
      </c>
      <c r="H30" s="57" t="s">
        <v>172</v>
      </c>
      <c r="I30" s="57" t="s">
        <v>17</v>
      </c>
      <c r="J30" s="57" t="s">
        <v>173</v>
      </c>
      <c r="K30" s="57" t="s">
        <v>34</v>
      </c>
      <c r="L30" s="57" t="s">
        <v>33</v>
      </c>
    </row>
    <row r="31" spans="1:12" ht="18.75" customHeight="1" x14ac:dyDescent="0.2">
      <c r="A31" s="343"/>
      <c r="B31" s="343"/>
      <c r="C31" s="342" t="s">
        <v>26</v>
      </c>
      <c r="D31" s="15" t="s">
        <v>476</v>
      </c>
      <c r="E31" s="15" t="s">
        <v>483</v>
      </c>
      <c r="F31" s="57"/>
      <c r="G31" s="58"/>
      <c r="H31" s="59"/>
      <c r="I31" s="59"/>
      <c r="J31" s="59"/>
      <c r="K31" s="59"/>
      <c r="L31" s="60"/>
    </row>
    <row r="32" spans="1:12" ht="18.75" customHeight="1" x14ac:dyDescent="0.2">
      <c r="A32" s="343"/>
      <c r="B32" s="343"/>
      <c r="C32" s="344"/>
      <c r="D32" s="15" t="s">
        <v>477</v>
      </c>
      <c r="E32" s="15" t="s">
        <v>484</v>
      </c>
      <c r="F32" s="57"/>
      <c r="G32" s="58"/>
      <c r="H32" s="59"/>
      <c r="I32" s="59"/>
      <c r="J32" s="59"/>
      <c r="K32" s="59"/>
      <c r="L32" s="60"/>
    </row>
    <row r="33" spans="1:12" ht="18.75" customHeight="1" x14ac:dyDescent="0.2">
      <c r="A33" s="343"/>
      <c r="B33" s="343"/>
      <c r="C33" s="342" t="s">
        <v>107</v>
      </c>
      <c r="D33" s="61" t="s">
        <v>478</v>
      </c>
      <c r="E33" s="323" t="s">
        <v>485</v>
      </c>
      <c r="F33" s="335"/>
      <c r="G33" s="335"/>
      <c r="H33" s="335"/>
      <c r="I33" s="335"/>
      <c r="J33" s="335"/>
      <c r="K33" s="335"/>
      <c r="L33" s="324"/>
    </row>
    <row r="34" spans="1:12" ht="18.75" customHeight="1" x14ac:dyDescent="0.2">
      <c r="A34" s="344"/>
      <c r="B34" s="344"/>
      <c r="C34" s="344"/>
      <c r="D34" s="61" t="s">
        <v>479</v>
      </c>
      <c r="E34" s="323" t="s">
        <v>486</v>
      </c>
      <c r="F34" s="335"/>
      <c r="G34" s="335"/>
      <c r="H34" s="335"/>
      <c r="I34" s="335"/>
      <c r="J34" s="335"/>
      <c r="K34" s="335"/>
      <c r="L34" s="324"/>
    </row>
  </sheetData>
  <dataConsolidate/>
  <mergeCells count="22">
    <mergeCell ref="G14:L14"/>
    <mergeCell ref="A3:L3"/>
    <mergeCell ref="A4:L4"/>
    <mergeCell ref="C7:D8"/>
    <mergeCell ref="D11:L11"/>
    <mergeCell ref="D13:L13"/>
    <mergeCell ref="E33:L33"/>
    <mergeCell ref="E34:L34"/>
    <mergeCell ref="D15:L15"/>
    <mergeCell ref="E16:L16"/>
    <mergeCell ref="A20:A26"/>
    <mergeCell ref="B20:B26"/>
    <mergeCell ref="C20:C22"/>
    <mergeCell ref="C23:C24"/>
    <mergeCell ref="C25:C26"/>
    <mergeCell ref="E25:L25"/>
    <mergeCell ref="E26:L26"/>
    <mergeCell ref="A28:A34"/>
    <mergeCell ref="B28:B34"/>
    <mergeCell ref="C28:C30"/>
    <mergeCell ref="C31:C32"/>
    <mergeCell ref="C33:C34"/>
  </mergeCells>
  <dataValidations count="7">
    <dataValidation type="list" allowBlank="1" showInputMessage="1" showErrorMessage="1" sqref="A18" xr:uid="{00000000-0002-0000-0A00-000000000000}">
      <formula1>ID_System</formula1>
    </dataValidation>
    <dataValidation type="list" allowBlank="1" showInputMessage="1" showErrorMessage="1" sqref="E27" xr:uid="{00000000-0002-0000-0A00-000001000000}">
      <formula1>$B$38:$C$38</formula1>
    </dataValidation>
    <dataValidation type="list" allowBlank="1" showInputMessage="1" showErrorMessage="1" sqref="G28:G30" xr:uid="{00000000-0002-0000-0A00-000002000000}">
      <formula1>$B$41:$Z$41</formula1>
    </dataValidation>
    <dataValidation type="list" allowBlank="1" showInputMessage="1" showErrorMessage="1" sqref="K20:L22 K28:L30" xr:uid="{00000000-0002-0000-0A00-000003000000}">
      <formula1>Boolean</formula1>
    </dataValidation>
    <dataValidation type="list" allowBlank="1" showInputMessage="1" showErrorMessage="1" sqref="D19 D27" xr:uid="{00000000-0002-0000-0A00-000004000000}">
      <formula1>EntityType</formula1>
    </dataValidation>
    <dataValidation type="list" allowBlank="1" showInputMessage="1" showErrorMessage="1" sqref="F23:F24 I20:I22 F31:F32 I28:I30" xr:uid="{00000000-0002-0000-0A00-000005000000}">
      <formula1>AttributeMultiplicity</formula1>
    </dataValidation>
    <dataValidation type="list" allowBlank="1" showInputMessage="1" showErrorMessage="1" sqref="E19 G20:G22" xr:uid="{00000000-0002-0000-0A00-000006000000}">
      <formula1>#REF!</formula1>
    </dataValidation>
  </dataValidations>
  <hyperlinks>
    <hyperlink ref="A1" location="index!A1" display="Back to Index" xr:uid="{00000000-0004-0000-0A00-000000000000}"/>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99FF33"/>
  </sheetPr>
  <dimension ref="A1:G13"/>
  <sheetViews>
    <sheetView workbookViewId="0"/>
  </sheetViews>
  <sheetFormatPr baseColWidth="10" defaultColWidth="8.83203125" defaultRowHeight="15" x14ac:dyDescent="0.2"/>
  <cols>
    <col min="1" max="1" width="11.33203125" customWidth="1"/>
    <col min="2" max="2" width="20.6640625" customWidth="1"/>
    <col min="3" max="3" width="11" customWidth="1"/>
    <col min="4" max="4" width="13.6640625" customWidth="1"/>
    <col min="5" max="5" width="16.5" customWidth="1"/>
    <col min="6" max="6" width="21.5" customWidth="1"/>
    <col min="7" max="7" width="46.83203125" customWidth="1"/>
    <col min="8" max="8" width="9.1640625" customWidth="1"/>
  </cols>
  <sheetData>
    <row r="1" spans="1:7" ht="24" x14ac:dyDescent="0.3">
      <c r="A1" s="6" t="s">
        <v>13</v>
      </c>
      <c r="B1" s="1"/>
      <c r="G1" s="1"/>
    </row>
    <row r="3" spans="1:7" ht="24" x14ac:dyDescent="0.3">
      <c r="A3" s="316" t="str">
        <f>Index!A1</f>
        <v>Online Boutique Requirements Specification</v>
      </c>
      <c r="B3" s="316"/>
      <c r="C3" s="316"/>
      <c r="D3" s="316"/>
    </row>
    <row r="4" spans="1:7" ht="24" x14ac:dyDescent="0.3">
      <c r="A4" s="317" t="s">
        <v>487</v>
      </c>
      <c r="B4" s="317"/>
      <c r="C4" s="317"/>
      <c r="D4" s="317"/>
    </row>
    <row r="5" spans="1:7" ht="34.5" customHeight="1" x14ac:dyDescent="0.2"/>
    <row r="6" spans="1:7" ht="21" customHeight="1" x14ac:dyDescent="0.2">
      <c r="A6" s="33" t="s">
        <v>579</v>
      </c>
    </row>
    <row r="7" spans="1:7" ht="21" customHeight="1" x14ac:dyDescent="0.2">
      <c r="D7" s="348" t="s">
        <v>239</v>
      </c>
      <c r="E7" s="349"/>
      <c r="F7" s="350"/>
    </row>
    <row r="8" spans="1:7" ht="18" customHeight="1" x14ac:dyDescent="0.2">
      <c r="A8" s="177" t="s">
        <v>21</v>
      </c>
      <c r="B8" s="176" t="s">
        <v>127</v>
      </c>
      <c r="C8" s="236" t="s">
        <v>22</v>
      </c>
      <c r="D8" s="236" t="s">
        <v>157</v>
      </c>
      <c r="E8" s="236" t="s">
        <v>28</v>
      </c>
      <c r="F8" s="236" t="s">
        <v>112</v>
      </c>
      <c r="G8" s="178" t="s">
        <v>2</v>
      </c>
    </row>
    <row r="9" spans="1:7" ht="21" customHeight="1" x14ac:dyDescent="0.2">
      <c r="A9" s="144" t="s">
        <v>488</v>
      </c>
      <c r="B9" s="141" t="s">
        <v>489</v>
      </c>
      <c r="C9" s="141" t="s">
        <v>591</v>
      </c>
      <c r="D9" s="141" t="s">
        <v>758</v>
      </c>
      <c r="E9" s="141" t="s">
        <v>758</v>
      </c>
      <c r="F9" s="141"/>
      <c r="G9" s="142" t="s">
        <v>240</v>
      </c>
    </row>
    <row r="10" spans="1:7" x14ac:dyDescent="0.2">
      <c r="A10" s="144"/>
      <c r="B10" s="141"/>
      <c r="C10" s="141"/>
      <c r="D10" s="141"/>
      <c r="E10" s="141"/>
      <c r="F10" s="141"/>
      <c r="G10" s="142"/>
    </row>
    <row r="11" spans="1:7" x14ac:dyDescent="0.2">
      <c r="A11" s="211"/>
      <c r="B11" s="203"/>
      <c r="C11" s="203"/>
      <c r="D11" s="203"/>
      <c r="E11" s="203"/>
      <c r="F11" s="203"/>
      <c r="G11" s="212"/>
    </row>
    <row r="12" spans="1:7" x14ac:dyDescent="0.2">
      <c r="A12" s="211"/>
      <c r="B12" s="203"/>
      <c r="C12" s="203"/>
      <c r="D12" s="203"/>
      <c r="E12" s="203"/>
      <c r="F12" s="203"/>
      <c r="G12" s="212"/>
    </row>
    <row r="13" spans="1:7" x14ac:dyDescent="0.2">
      <c r="A13" s="211"/>
      <c r="B13" s="203"/>
      <c r="C13" s="203"/>
      <c r="D13" s="203"/>
      <c r="E13" s="203"/>
      <c r="F13" s="203"/>
      <c r="G13" s="212"/>
    </row>
  </sheetData>
  <mergeCells count="3">
    <mergeCell ref="A3:D3"/>
    <mergeCell ref="A4:D4"/>
    <mergeCell ref="D7:F7"/>
  </mergeCells>
  <dataValidations count="3">
    <dataValidation type="list" allowBlank="1" showInputMessage="1" showErrorMessage="1" sqref="C9:C13" xr:uid="{00000000-0002-0000-0C00-000000000000}">
      <formula1>N_DataEntityClusterType</formula1>
    </dataValidation>
    <dataValidation type="list" allowBlank="1" showInputMessage="1" showErrorMessage="1" sqref="A6" xr:uid="{00000000-0002-0000-0C00-000001000000}">
      <formula1>ID_System</formula1>
    </dataValidation>
    <dataValidation type="list" allowBlank="1" showInputMessage="1" showErrorMessage="1" sqref="D8:F13" xr:uid="{00000000-0002-0000-0C00-000002000000}">
      <formula1>"ID_DataEntity"</formula1>
    </dataValidation>
  </dataValidations>
  <hyperlinks>
    <hyperlink ref="A1" location="index!A1" display="Back to Index" xr:uid="{00000000-0004-0000-0C00-000000000000}"/>
  </hyperlink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3" tint="0.39997558519241921"/>
    <pageSetUpPr fitToPage="1"/>
  </sheetPr>
  <dimension ref="A1:K13"/>
  <sheetViews>
    <sheetView workbookViewId="0"/>
  </sheetViews>
  <sheetFormatPr baseColWidth="10" defaultColWidth="8.83203125" defaultRowHeight="15" x14ac:dyDescent="0.2"/>
  <cols>
    <col min="1" max="1" width="10.1640625" customWidth="1"/>
    <col min="2" max="2" width="26.5" customWidth="1"/>
    <col min="3" max="3" width="9.33203125" customWidth="1"/>
    <col min="4" max="4" width="21.5" customWidth="1"/>
    <col min="5" max="5" width="8.6640625" customWidth="1"/>
    <col min="6" max="6" width="8.83203125" customWidth="1"/>
    <col min="7" max="7" width="8" customWidth="1"/>
    <col min="8" max="8" width="15.33203125" customWidth="1"/>
    <col min="9" max="9" width="12.83203125" customWidth="1"/>
    <col min="10" max="10" width="80" customWidth="1"/>
    <col min="11" max="11" width="9.5" customWidth="1"/>
    <col min="12" max="12" width="29" customWidth="1"/>
    <col min="17" max="17" width="10.5" customWidth="1"/>
  </cols>
  <sheetData>
    <row r="1" spans="1:11" x14ac:dyDescent="0.2">
      <c r="A1" s="6" t="s">
        <v>13</v>
      </c>
      <c r="B1" s="6"/>
      <c r="C1" s="6"/>
      <c r="D1" s="6"/>
      <c r="E1" s="6"/>
    </row>
    <row r="2" spans="1:11" ht="11.25" customHeight="1" x14ac:dyDescent="0.2"/>
    <row r="3" spans="1:11" ht="29.25" customHeight="1" x14ac:dyDescent="0.3">
      <c r="A3" s="316" t="str">
        <f>Index!A1</f>
        <v>Online Boutique Requirements Specification</v>
      </c>
      <c r="B3" s="316"/>
      <c r="C3" s="316"/>
      <c r="D3" s="316"/>
      <c r="E3" s="316"/>
      <c r="F3" s="316"/>
      <c r="G3" s="316"/>
      <c r="H3" s="316"/>
      <c r="I3" s="316"/>
      <c r="J3" s="316"/>
      <c r="K3" s="316"/>
    </row>
    <row r="4" spans="1:11" ht="24" x14ac:dyDescent="0.3">
      <c r="A4" s="317" t="s">
        <v>729</v>
      </c>
      <c r="B4" s="317"/>
      <c r="C4" s="317"/>
      <c r="D4" s="317"/>
      <c r="E4" s="317"/>
      <c r="F4" s="317"/>
      <c r="G4" s="317"/>
      <c r="H4" s="317"/>
      <c r="I4" s="317"/>
      <c r="J4" s="317"/>
      <c r="K4" s="317"/>
    </row>
    <row r="5" spans="1:11" ht="34.5" customHeight="1" x14ac:dyDescent="0.2"/>
    <row r="6" spans="1:11" x14ac:dyDescent="0.2">
      <c r="A6" s="33" t="s">
        <v>579</v>
      </c>
    </row>
    <row r="7" spans="1:11" ht="33.75" customHeight="1" x14ac:dyDescent="0.2">
      <c r="A7" s="169" t="s">
        <v>21</v>
      </c>
      <c r="B7" s="171" t="s">
        <v>127</v>
      </c>
      <c r="C7" s="205" t="s">
        <v>22</v>
      </c>
      <c r="D7" s="205" t="s">
        <v>18</v>
      </c>
      <c r="E7" s="207" t="s">
        <v>423</v>
      </c>
      <c r="F7" s="207" t="s">
        <v>730</v>
      </c>
      <c r="G7" s="207" t="s">
        <v>731</v>
      </c>
      <c r="H7" s="234" t="s">
        <v>4</v>
      </c>
      <c r="I7" s="237" t="s">
        <v>128</v>
      </c>
      <c r="J7" s="171" t="s">
        <v>2</v>
      </c>
      <c r="K7" s="190" t="s">
        <v>9</v>
      </c>
    </row>
    <row r="8" spans="1:11" ht="84" customHeight="1" x14ac:dyDescent="0.2">
      <c r="A8" s="143" t="s">
        <v>445</v>
      </c>
      <c r="B8" s="244" t="s">
        <v>419</v>
      </c>
      <c r="C8" s="244" t="s">
        <v>101</v>
      </c>
      <c r="D8" s="244" t="s">
        <v>371</v>
      </c>
      <c r="E8" s="244" t="s">
        <v>33</v>
      </c>
      <c r="F8" s="244" t="s">
        <v>33</v>
      </c>
      <c r="G8" s="244" t="s">
        <v>33</v>
      </c>
      <c r="H8" s="53" t="e">
        <f>Subject.Stakeholders!#REF!</f>
        <v>#REF!</v>
      </c>
      <c r="I8" s="54"/>
      <c r="J8" s="53" t="s">
        <v>444</v>
      </c>
      <c r="K8" s="125" t="s">
        <v>565</v>
      </c>
    </row>
    <row r="9" spans="1:11" ht="60" customHeight="1" x14ac:dyDescent="0.2">
      <c r="A9" s="143" t="s">
        <v>446</v>
      </c>
      <c r="B9" s="244" t="s">
        <v>420</v>
      </c>
      <c r="C9" s="244" t="s">
        <v>101</v>
      </c>
      <c r="D9" s="244" t="s">
        <v>372</v>
      </c>
      <c r="E9" s="244" t="s">
        <v>33</v>
      </c>
      <c r="F9" s="244" t="s">
        <v>33</v>
      </c>
      <c r="G9" s="244" t="s">
        <v>33</v>
      </c>
      <c r="H9" s="53" t="e">
        <f>Subject.Stakeholders!#REF!</f>
        <v>#REF!</v>
      </c>
      <c r="I9" s="54"/>
      <c r="J9" s="53" t="s">
        <v>447</v>
      </c>
      <c r="K9" s="125" t="s">
        <v>566</v>
      </c>
    </row>
    <row r="10" spans="1:11" ht="25.5" customHeight="1" x14ac:dyDescent="0.2">
      <c r="A10" s="143" t="s">
        <v>448</v>
      </c>
      <c r="B10" s="244" t="s">
        <v>421</v>
      </c>
      <c r="C10" s="244" t="s">
        <v>101</v>
      </c>
      <c r="D10" s="244" t="s">
        <v>621</v>
      </c>
      <c r="E10" s="244" t="s">
        <v>33</v>
      </c>
      <c r="F10" s="244" t="s">
        <v>33</v>
      </c>
      <c r="G10" s="244" t="s">
        <v>33</v>
      </c>
      <c r="H10" s="53" t="e">
        <f>Subject.Stakeholders!#REF!</f>
        <v>#REF!</v>
      </c>
      <c r="I10" s="54"/>
      <c r="J10" s="53" t="s">
        <v>449</v>
      </c>
      <c r="K10" s="125" t="s">
        <v>567</v>
      </c>
    </row>
    <row r="11" spans="1:11" ht="25.5" customHeight="1" x14ac:dyDescent="0.2">
      <c r="A11" s="143" t="s">
        <v>450</v>
      </c>
      <c r="B11" s="244" t="s">
        <v>422</v>
      </c>
      <c r="C11" s="244" t="s">
        <v>101</v>
      </c>
      <c r="D11" s="244" t="s">
        <v>373</v>
      </c>
      <c r="E11" s="244" t="s">
        <v>33</v>
      </c>
      <c r="F11" s="244" t="s">
        <v>33</v>
      </c>
      <c r="G11" s="244" t="s">
        <v>33</v>
      </c>
      <c r="H11" s="53" t="e">
        <f>Subject.Stakeholders!#REF!</f>
        <v>#REF!</v>
      </c>
      <c r="I11" s="54"/>
      <c r="J11" s="53" t="s">
        <v>451</v>
      </c>
      <c r="K11" s="125"/>
    </row>
    <row r="12" spans="1:11" ht="25.5" customHeight="1" x14ac:dyDescent="0.2">
      <c r="A12" s="143"/>
      <c r="B12" s="244"/>
      <c r="C12" s="244"/>
      <c r="D12" s="244"/>
      <c r="E12" s="244"/>
      <c r="F12" s="244"/>
      <c r="G12" s="244"/>
      <c r="H12" s="53"/>
      <c r="I12" s="54"/>
      <c r="J12" s="53"/>
      <c r="K12" s="125"/>
    </row>
    <row r="13" spans="1:11" ht="25.5" customHeight="1" x14ac:dyDescent="0.2">
      <c r="A13" s="144"/>
      <c r="B13" s="267"/>
      <c r="C13" s="267"/>
      <c r="D13" s="267"/>
      <c r="E13" s="267"/>
      <c r="F13" s="267"/>
      <c r="G13" s="267"/>
      <c r="H13" s="141"/>
      <c r="I13" s="91"/>
      <c r="J13" s="141"/>
      <c r="K13" s="142"/>
    </row>
  </sheetData>
  <mergeCells count="2">
    <mergeCell ref="A3:K3"/>
    <mergeCell ref="A4:K4"/>
  </mergeCells>
  <dataValidations count="7">
    <dataValidation type="list" allowBlank="1" showInputMessage="1" showErrorMessage="1" sqref="D8:D13 C7" xr:uid="{00000000-0002-0000-0D00-000000000000}">
      <formula1>N_GoalSubType</formula1>
    </dataValidation>
    <dataValidation type="list" allowBlank="1" showInputMessage="1" showErrorMessage="1" sqref="E8:G13" xr:uid="{00000000-0002-0000-0D00-000001000000}">
      <formula1>N_Boolean</formula1>
    </dataValidation>
    <dataValidation type="list" allowBlank="1" showInputMessage="1" showErrorMessage="1" sqref="A6" xr:uid="{00000000-0002-0000-0D00-000002000000}">
      <formula1>ID_System</formula1>
    </dataValidation>
    <dataValidation type="list" allowBlank="1" showInputMessage="1" showErrorMessage="1" sqref="H8:H13" xr:uid="{00000000-0002-0000-0D00-000003000000}">
      <formula1>ID_Stakeholder</formula1>
    </dataValidation>
    <dataValidation type="list" allowBlank="1" showInputMessage="1" showErrorMessage="1" sqref="I8:I13" xr:uid="{00000000-0002-0000-0D00-000004000000}">
      <formula1>ID_Goal</formula1>
    </dataValidation>
    <dataValidation type="list" allowBlank="1" showInputMessage="1" showErrorMessage="1" sqref="K8:K13" xr:uid="{00000000-0002-0000-0D00-000005000000}">
      <formula1>N_PriorityType</formula1>
    </dataValidation>
    <dataValidation type="list" allowBlank="1" showInputMessage="1" showErrorMessage="1" sqref="C8:C13" xr:uid="{00000000-0002-0000-0D00-000007000000}">
      <formula1>N_GoalType</formula1>
    </dataValidation>
  </dataValidations>
  <hyperlinks>
    <hyperlink ref="A1" location="index!A1" display="Back to Index" xr:uid="{00000000-0004-0000-0D00-000000000000}"/>
  </hyperlinks>
  <pageMargins left="0.70866141732283472" right="0.70866141732283472" top="0.74803149606299213" bottom="0.74803149606299213" header="0.31496062992125984" footer="0.31496062992125984"/>
  <pageSetup paperSize="9" scale="62" fitToHeight="4" orientation="landscape"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theme="3" tint="0.39997558519241921"/>
  </sheetPr>
  <dimension ref="A1:J13"/>
  <sheetViews>
    <sheetView workbookViewId="0"/>
  </sheetViews>
  <sheetFormatPr baseColWidth="10" defaultColWidth="8.83203125" defaultRowHeight="15" x14ac:dyDescent="0.2"/>
  <cols>
    <col min="1" max="1" width="14.83203125" customWidth="1"/>
    <col min="2" max="2" width="24.5" customWidth="1"/>
    <col min="3" max="3" width="11" customWidth="1"/>
    <col min="4" max="4" width="9" customWidth="1"/>
    <col min="5" max="5" width="8.6640625" customWidth="1"/>
    <col min="6" max="6" width="8.5" customWidth="1"/>
    <col min="7" max="7" width="23.6640625" customWidth="1"/>
    <col min="8" max="8" width="12.6640625" customWidth="1"/>
    <col min="9" max="9" width="54.6640625" customWidth="1"/>
    <col min="10" max="10" width="8.33203125" customWidth="1"/>
    <col min="11" max="11" width="40.5" customWidth="1"/>
    <col min="12" max="12" width="16.1640625" customWidth="1"/>
    <col min="13" max="13" width="20.33203125" customWidth="1"/>
    <col min="14" max="14" width="13.83203125" customWidth="1"/>
  </cols>
  <sheetData>
    <row r="1" spans="1:10" ht="24" x14ac:dyDescent="0.3">
      <c r="A1" s="6" t="s">
        <v>13</v>
      </c>
      <c r="B1" s="1"/>
      <c r="I1" s="1"/>
    </row>
    <row r="3" spans="1:10" ht="24" x14ac:dyDescent="0.3">
      <c r="A3" s="316" t="str">
        <f>Index!A1</f>
        <v>Online Boutique Requirements Specification</v>
      </c>
      <c r="B3" s="316"/>
      <c r="C3" s="316"/>
      <c r="D3" s="316"/>
      <c r="E3" s="316"/>
      <c r="F3" s="316"/>
      <c r="G3" s="316"/>
      <c r="H3" s="316"/>
      <c r="I3" s="316"/>
      <c r="J3" s="316"/>
    </row>
    <row r="4" spans="1:10" ht="24" x14ac:dyDescent="0.3">
      <c r="A4" s="317" t="s">
        <v>64</v>
      </c>
      <c r="B4" s="317"/>
      <c r="C4" s="317"/>
      <c r="D4" s="317"/>
      <c r="E4" s="317"/>
      <c r="F4" s="317"/>
      <c r="G4" s="317"/>
      <c r="H4" s="317"/>
      <c r="I4" s="317"/>
      <c r="J4" s="317"/>
    </row>
    <row r="5" spans="1:10" ht="32.25" customHeight="1" x14ac:dyDescent="0.2"/>
    <row r="6" spans="1:10" x14ac:dyDescent="0.2">
      <c r="A6" s="33" t="s">
        <v>579</v>
      </c>
    </row>
    <row r="7" spans="1:10" ht="36" customHeight="1" x14ac:dyDescent="0.2">
      <c r="A7" s="145" t="s">
        <v>21</v>
      </c>
      <c r="B7" s="146" t="s">
        <v>127</v>
      </c>
      <c r="C7" s="192" t="s">
        <v>22</v>
      </c>
      <c r="D7" s="207" t="s">
        <v>423</v>
      </c>
      <c r="E7" s="207" t="s">
        <v>730</v>
      </c>
      <c r="F7" s="207" t="s">
        <v>731</v>
      </c>
      <c r="G7" s="192" t="s">
        <v>4</v>
      </c>
      <c r="H7" s="192" t="s">
        <v>20</v>
      </c>
      <c r="I7" s="146" t="s">
        <v>2</v>
      </c>
      <c r="J7" s="190" t="s">
        <v>9</v>
      </c>
    </row>
    <row r="8" spans="1:10" ht="30" x14ac:dyDescent="0.2">
      <c r="A8" s="143" t="s">
        <v>394</v>
      </c>
      <c r="B8" s="53" t="s">
        <v>395</v>
      </c>
      <c r="C8" s="53" t="s">
        <v>91</v>
      </c>
      <c r="D8" s="53"/>
      <c r="E8" s="53"/>
      <c r="F8" s="53"/>
      <c r="G8" s="53" t="s">
        <v>249</v>
      </c>
      <c r="H8" s="53"/>
      <c r="I8" s="53" t="s">
        <v>396</v>
      </c>
      <c r="J8" s="125" t="s">
        <v>566</v>
      </c>
    </row>
    <row r="9" spans="1:10" ht="57.75" customHeight="1" x14ac:dyDescent="0.2">
      <c r="A9" s="143" t="s">
        <v>399</v>
      </c>
      <c r="B9" s="53" t="s">
        <v>397</v>
      </c>
      <c r="C9" s="53" t="s">
        <v>91</v>
      </c>
      <c r="D9" s="53"/>
      <c r="E9" s="53"/>
      <c r="F9" s="53"/>
      <c r="G9" s="53"/>
      <c r="H9" s="53"/>
      <c r="I9" s="53" t="s">
        <v>398</v>
      </c>
      <c r="J9" s="125"/>
    </row>
    <row r="10" spans="1:10" ht="36" customHeight="1" x14ac:dyDescent="0.2">
      <c r="A10" s="143" t="s">
        <v>399</v>
      </c>
      <c r="B10" s="53" t="s">
        <v>397</v>
      </c>
      <c r="C10" s="53" t="s">
        <v>91</v>
      </c>
      <c r="D10" s="53"/>
      <c r="E10" s="53"/>
      <c r="F10" s="53"/>
      <c r="G10" s="53"/>
      <c r="H10" s="53"/>
      <c r="I10" s="53" t="s">
        <v>398</v>
      </c>
      <c r="J10" s="125"/>
    </row>
    <row r="11" spans="1:10" ht="28.5" customHeight="1" x14ac:dyDescent="0.2">
      <c r="A11" s="143"/>
      <c r="B11" s="53"/>
      <c r="C11" s="53"/>
      <c r="D11" s="53"/>
      <c r="E11" s="53"/>
      <c r="F11" s="53"/>
      <c r="G11" s="53"/>
      <c r="H11" s="53"/>
      <c r="I11" s="53"/>
      <c r="J11" s="125"/>
    </row>
    <row r="12" spans="1:10" ht="24.75" customHeight="1" x14ac:dyDescent="0.2">
      <c r="A12" s="143"/>
      <c r="B12" s="53"/>
      <c r="C12" s="53"/>
      <c r="D12" s="53"/>
      <c r="E12" s="53"/>
      <c r="F12" s="53"/>
      <c r="G12" s="53"/>
      <c r="H12" s="53"/>
      <c r="I12" s="53"/>
      <c r="J12" s="125"/>
    </row>
    <row r="13" spans="1:10" ht="24.75" customHeight="1" x14ac:dyDescent="0.2">
      <c r="A13" s="144"/>
      <c r="B13" s="141"/>
      <c r="C13" s="141"/>
      <c r="D13" s="141"/>
      <c r="E13" s="141"/>
      <c r="F13" s="141"/>
      <c r="G13" s="141"/>
      <c r="H13" s="141"/>
      <c r="I13" s="141"/>
      <c r="J13" s="142"/>
    </row>
  </sheetData>
  <mergeCells count="2">
    <mergeCell ref="A3:J3"/>
    <mergeCell ref="A4:J4"/>
  </mergeCells>
  <dataValidations count="6">
    <dataValidation type="list" allowBlank="1" showInputMessage="1" showErrorMessage="1" sqref="J8:J13" xr:uid="{00000000-0002-0000-0E00-000000000000}">
      <formula1>N_PriorityType</formula1>
    </dataValidation>
    <dataValidation type="list" allowBlank="1" showInputMessage="1" showErrorMessage="1" sqref="D8:F13" xr:uid="{00000000-0002-0000-0E00-000001000000}">
      <formula1>N_Boolean</formula1>
    </dataValidation>
    <dataValidation type="list" allowBlank="1" showInputMessage="1" showErrorMessage="1" sqref="A6" xr:uid="{00000000-0002-0000-0E00-000002000000}">
      <formula1>ID_System</formula1>
    </dataValidation>
    <dataValidation type="list" allowBlank="1" showInputMessage="1" showErrorMessage="1" sqref="G8:G13" xr:uid="{00000000-0002-0000-0E00-000003000000}">
      <formula1>ID_Stakeholder</formula1>
    </dataValidation>
    <dataValidation type="list" allowBlank="1" showInputMessage="1" showErrorMessage="1" sqref="H8:H13" xr:uid="{00000000-0002-0000-0E00-000004000000}">
      <formula1>ID_FR</formula1>
    </dataValidation>
    <dataValidation type="list" allowBlank="1" showInputMessage="1" showErrorMessage="1" sqref="C7:C13" xr:uid="{00000000-0002-0000-0E00-000005000000}">
      <formula1>N_FRType</formula1>
    </dataValidation>
  </dataValidations>
  <hyperlinks>
    <hyperlink ref="A1" location="index!A1" display="Back to Index" xr:uid="{00000000-0004-0000-0E00-000000000000}"/>
  </hyperlinks>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04646-3F8F-484A-BB3D-49D2F4F75D13}">
  <sheetPr codeName="Sheet11">
    <tabColor theme="6" tint="0.39997558519241921"/>
  </sheetPr>
  <dimension ref="A1:L10"/>
  <sheetViews>
    <sheetView zoomScale="125" workbookViewId="0">
      <selection activeCell="A10" sqref="A10"/>
    </sheetView>
  </sheetViews>
  <sheetFormatPr baseColWidth="10" defaultRowHeight="15" x14ac:dyDescent="0.2"/>
  <cols>
    <col min="1" max="1" width="23.6640625" customWidth="1"/>
    <col min="2" max="2" width="35" customWidth="1"/>
    <col min="3" max="3" width="36.33203125" customWidth="1"/>
    <col min="6" max="6" width="14" customWidth="1"/>
    <col min="7" max="7" width="15.6640625" customWidth="1"/>
    <col min="8" max="8" width="15.33203125" customWidth="1"/>
  </cols>
  <sheetData>
    <row r="1" spans="1:12" x14ac:dyDescent="0.2">
      <c r="A1" s="6" t="s">
        <v>13</v>
      </c>
    </row>
    <row r="2" spans="1:12" ht="24" x14ac:dyDescent="0.3">
      <c r="A2" s="20" t="str">
        <f>Index!A1</f>
        <v>Online Boutique Requirements Specification</v>
      </c>
      <c r="B2" s="20"/>
      <c r="C2" s="20"/>
      <c r="D2" s="20"/>
      <c r="E2" s="20"/>
      <c r="F2" s="20"/>
      <c r="G2" s="20"/>
      <c r="H2" s="20"/>
      <c r="I2" s="7"/>
      <c r="J2" s="7"/>
      <c r="K2" s="7"/>
      <c r="L2" s="7"/>
    </row>
    <row r="3" spans="1:12" ht="24" x14ac:dyDescent="0.3">
      <c r="A3" s="317" t="s">
        <v>879</v>
      </c>
      <c r="B3" s="317"/>
      <c r="C3" s="317"/>
      <c r="D3" s="317"/>
      <c r="E3" s="317"/>
      <c r="F3" s="317"/>
      <c r="G3" s="317"/>
      <c r="H3" s="317"/>
      <c r="I3" s="317"/>
      <c r="J3" s="317"/>
      <c r="K3" s="317"/>
      <c r="L3" s="317"/>
    </row>
    <row r="5" spans="1:12" ht="17" x14ac:dyDescent="0.2">
      <c r="A5" s="298" t="s">
        <v>0</v>
      </c>
      <c r="B5" s="287" t="s">
        <v>846</v>
      </c>
      <c r="C5" s="299" t="s">
        <v>2</v>
      </c>
      <c r="D5" s="307" t="s">
        <v>867</v>
      </c>
      <c r="E5" s="308" t="s">
        <v>22</v>
      </c>
      <c r="F5" s="308" t="s">
        <v>869</v>
      </c>
      <c r="G5" s="308" t="s">
        <v>871</v>
      </c>
      <c r="H5" s="308" t="s">
        <v>870</v>
      </c>
    </row>
    <row r="6" spans="1:12" ht="27" customHeight="1" x14ac:dyDescent="0.2">
      <c r="A6" s="250" t="s">
        <v>854</v>
      </c>
      <c r="B6" s="250" t="s">
        <v>56</v>
      </c>
      <c r="C6" s="250" t="s">
        <v>873</v>
      </c>
      <c r="D6" s="55" t="s">
        <v>799</v>
      </c>
      <c r="E6" s="55"/>
      <c r="F6" s="55"/>
      <c r="G6" s="55"/>
      <c r="H6" s="55"/>
    </row>
    <row r="7" spans="1:12" ht="30" x14ac:dyDescent="0.2">
      <c r="A7" s="250" t="s">
        <v>847</v>
      </c>
      <c r="B7" s="250" t="s">
        <v>848</v>
      </c>
      <c r="C7" s="250" t="s">
        <v>849</v>
      </c>
      <c r="D7" s="55" t="s">
        <v>799</v>
      </c>
      <c r="E7" s="55"/>
      <c r="F7" s="55"/>
      <c r="G7" s="55"/>
      <c r="H7" s="55"/>
    </row>
    <row r="8" spans="1:12" ht="30" x14ac:dyDescent="0.2">
      <c r="A8" s="250" t="s">
        <v>855</v>
      </c>
      <c r="B8" s="250" t="s">
        <v>856</v>
      </c>
      <c r="C8" s="250" t="s">
        <v>875</v>
      </c>
      <c r="D8" s="55" t="s">
        <v>799</v>
      </c>
      <c r="E8" s="55"/>
      <c r="F8" s="55"/>
      <c r="G8" s="55"/>
      <c r="H8" s="55"/>
    </row>
    <row r="9" spans="1:12" ht="30" x14ac:dyDescent="0.2">
      <c r="A9" s="250" t="s">
        <v>861</v>
      </c>
      <c r="B9" s="250" t="s">
        <v>877</v>
      </c>
      <c r="C9" s="250" t="s">
        <v>878</v>
      </c>
      <c r="D9" s="55" t="s">
        <v>799</v>
      </c>
      <c r="E9" s="55" t="s">
        <v>590</v>
      </c>
      <c r="F9" s="55" t="s">
        <v>850</v>
      </c>
      <c r="G9" s="55"/>
      <c r="H9" s="55"/>
    </row>
    <row r="10" spans="1:12" ht="45" x14ac:dyDescent="0.2">
      <c r="A10" s="250" t="s">
        <v>850</v>
      </c>
      <c r="B10" s="250" t="s">
        <v>803</v>
      </c>
      <c r="C10" s="250" t="s">
        <v>874</v>
      </c>
      <c r="D10" s="55" t="s">
        <v>866</v>
      </c>
      <c r="E10" s="55" t="s">
        <v>591</v>
      </c>
      <c r="F10" s="55"/>
      <c r="G10" s="55" t="s">
        <v>861</v>
      </c>
      <c r="H10" s="55" t="s">
        <v>886</v>
      </c>
    </row>
  </sheetData>
  <mergeCells count="1">
    <mergeCell ref="A3:L3"/>
  </mergeCells>
  <dataValidations count="5">
    <dataValidation type="list" allowBlank="1" showInputMessage="1" showErrorMessage="1" sqref="B2:B3" xr:uid="{56136605-4803-1D43-9D8B-07A480427B84}">
      <formula1>Id_DataEntity_NoDuplicates</formula1>
    </dataValidation>
    <dataValidation type="list" allowBlank="1" showInputMessage="1" showErrorMessage="1" sqref="D2:D3" xr:uid="{C2CD9A4D-EF63-0143-9E61-05B9A6C40E4E}">
      <formula1>N_DataAttributeType</formula1>
    </dataValidation>
    <dataValidation type="list" allowBlank="1" showInputMessage="1" showErrorMessage="1" sqref="D5:D10" xr:uid="{461633A3-2933-B742-84ED-7881F31F821D}">
      <formula1>N_DataEntityTypes</formula1>
    </dataValidation>
    <dataValidation type="list" allowBlank="1" showInputMessage="1" showErrorMessage="1" sqref="E5:E10" xr:uid="{76A10272-A3B9-6C4A-ACF1-7DDEECDCAED4}">
      <formula1>N_DataEntityType</formula1>
    </dataValidation>
    <dataValidation type="list" allowBlank="1" showInputMessage="1" showErrorMessage="1" sqref="F6:F10" xr:uid="{79E9B3F1-8A5F-564D-8A08-1B4DA5A85C2B}">
      <formula1>$A$6:$A$1000</formula1>
    </dataValidation>
  </dataValidations>
  <hyperlinks>
    <hyperlink ref="A1" location="index!A1" display="Back to Index" xr:uid="{68A0C3F2-CACD-5A46-9087-0F3A6B9D72F3}"/>
  </hyperlinks>
  <pageMargins left="0.7" right="0.7" top="0.75" bottom="0.75" header="0.3" footer="0.3"/>
  <pageSetup paperSize="9" orientation="portrait" horizontalDpi="0" verticalDpi="0"/>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A4069-7747-4248-BA69-3A2F2D134A15}">
  <sheetPr codeName="Sheet4">
    <tabColor theme="6" tint="0.39997558519241921"/>
  </sheetPr>
  <dimension ref="A1:L25"/>
  <sheetViews>
    <sheetView topLeftCell="B1" zoomScale="129" workbookViewId="0">
      <selection activeCell="J7" sqref="J7"/>
    </sheetView>
  </sheetViews>
  <sheetFormatPr baseColWidth="10" defaultRowHeight="15" x14ac:dyDescent="0.2"/>
  <cols>
    <col min="1" max="1" width="18.33203125" customWidth="1"/>
    <col min="2" max="2" width="13.6640625" customWidth="1"/>
    <col min="4" max="4" width="18.33203125" customWidth="1"/>
    <col min="5" max="5" width="33.83203125" customWidth="1"/>
    <col min="6" max="6" width="12.83203125" customWidth="1"/>
    <col min="7" max="7" width="13" customWidth="1"/>
    <col min="8" max="8" width="14" customWidth="1"/>
    <col min="9" max="9" width="21.6640625" customWidth="1"/>
    <col min="10" max="10" width="30.33203125" customWidth="1"/>
  </cols>
  <sheetData>
    <row r="1" spans="1:12" x14ac:dyDescent="0.2">
      <c r="A1" s="6" t="s">
        <v>13</v>
      </c>
    </row>
    <row r="2" spans="1:12" ht="24" x14ac:dyDescent="0.3">
      <c r="A2" s="20" t="str">
        <f>Index!A1</f>
        <v>Online Boutique Requirements Specification</v>
      </c>
      <c r="B2" s="20"/>
      <c r="C2" s="20"/>
      <c r="D2" s="20"/>
      <c r="E2" s="20"/>
      <c r="F2" s="20"/>
      <c r="G2" s="20"/>
      <c r="H2" s="20"/>
      <c r="I2" s="20"/>
      <c r="J2" s="7"/>
      <c r="K2" s="7"/>
      <c r="L2" s="7"/>
    </row>
    <row r="3" spans="1:12" ht="24" x14ac:dyDescent="0.3">
      <c r="A3" s="317" t="s">
        <v>880</v>
      </c>
      <c r="B3" s="317"/>
      <c r="C3" s="317"/>
      <c r="D3" s="317"/>
      <c r="E3" s="317"/>
      <c r="F3" s="317"/>
      <c r="G3" s="317"/>
      <c r="H3" s="317"/>
      <c r="I3" s="317"/>
      <c r="J3" s="317"/>
      <c r="K3" s="317"/>
      <c r="L3" s="317"/>
    </row>
    <row r="5" spans="1:12" ht="16" x14ac:dyDescent="0.2">
      <c r="A5" s="289" t="s">
        <v>21</v>
      </c>
      <c r="B5" s="290" t="s">
        <v>816</v>
      </c>
      <c r="C5" s="291" t="s">
        <v>817</v>
      </c>
      <c r="D5" s="291" t="s">
        <v>5</v>
      </c>
      <c r="E5" s="290" t="s">
        <v>2</v>
      </c>
      <c r="F5" s="290" t="s">
        <v>818</v>
      </c>
      <c r="G5" s="290" t="s">
        <v>819</v>
      </c>
      <c r="H5" s="290" t="s">
        <v>775</v>
      </c>
      <c r="I5" s="290" t="s">
        <v>820</v>
      </c>
      <c r="J5" s="290" t="s">
        <v>821</v>
      </c>
    </row>
    <row r="6" spans="1:12" x14ac:dyDescent="0.2">
      <c r="A6" s="53" t="s">
        <v>854</v>
      </c>
      <c r="B6" s="53"/>
      <c r="C6" s="53" t="s">
        <v>881</v>
      </c>
      <c r="D6" s="53" t="s">
        <v>178</v>
      </c>
      <c r="E6" s="309" t="s">
        <v>882</v>
      </c>
      <c r="F6" s="53" t="s">
        <v>33</v>
      </c>
      <c r="G6" s="53" t="s">
        <v>33</v>
      </c>
      <c r="H6" s="53" t="s">
        <v>301</v>
      </c>
      <c r="I6" s="53"/>
      <c r="J6" s="53" t="s">
        <v>883</v>
      </c>
    </row>
    <row r="7" spans="1:12" ht="30" x14ac:dyDescent="0.2">
      <c r="A7" s="309" t="s">
        <v>854</v>
      </c>
      <c r="B7" s="309"/>
      <c r="C7" s="309" t="s">
        <v>811</v>
      </c>
      <c r="D7" s="309" t="s">
        <v>315</v>
      </c>
      <c r="E7" s="309" t="s">
        <v>832</v>
      </c>
      <c r="F7" s="309" t="s">
        <v>34</v>
      </c>
      <c r="G7" s="309" t="s">
        <v>33</v>
      </c>
      <c r="H7" s="309" t="s">
        <v>776</v>
      </c>
      <c r="I7" s="309"/>
      <c r="J7" s="311" t="s">
        <v>815</v>
      </c>
    </row>
    <row r="8" spans="1:12" x14ac:dyDescent="0.2">
      <c r="A8" s="309" t="s">
        <v>854</v>
      </c>
      <c r="B8" s="309"/>
      <c r="C8" s="309" t="s">
        <v>824</v>
      </c>
      <c r="D8" s="309" t="s">
        <v>315</v>
      </c>
      <c r="E8" s="309" t="s">
        <v>833</v>
      </c>
      <c r="F8" s="309" t="s">
        <v>34</v>
      </c>
      <c r="G8" s="309" t="s">
        <v>33</v>
      </c>
      <c r="H8" s="309" t="s">
        <v>776</v>
      </c>
      <c r="I8" s="309"/>
      <c r="J8" s="311"/>
    </row>
    <row r="9" spans="1:12" x14ac:dyDescent="0.2">
      <c r="A9" s="309" t="s">
        <v>854</v>
      </c>
      <c r="B9" s="309"/>
      <c r="C9" s="309" t="s">
        <v>825</v>
      </c>
      <c r="D9" s="309" t="s">
        <v>315</v>
      </c>
      <c r="E9" s="309" t="s">
        <v>834</v>
      </c>
      <c r="F9" s="309" t="s">
        <v>34</v>
      </c>
      <c r="G9" s="309" t="s">
        <v>33</v>
      </c>
      <c r="H9" s="309" t="s">
        <v>776</v>
      </c>
      <c r="I9" s="309"/>
      <c r="J9" s="311" t="s">
        <v>812</v>
      </c>
    </row>
    <row r="10" spans="1:12" x14ac:dyDescent="0.2">
      <c r="A10" s="309" t="s">
        <v>854</v>
      </c>
      <c r="B10" s="309"/>
      <c r="C10" s="309" t="s">
        <v>826</v>
      </c>
      <c r="D10" s="309" t="s">
        <v>315</v>
      </c>
      <c r="E10" s="309" t="s">
        <v>835</v>
      </c>
      <c r="F10" s="309" t="s">
        <v>34</v>
      </c>
      <c r="G10" s="309" t="s">
        <v>33</v>
      </c>
      <c r="H10" s="309" t="s">
        <v>776</v>
      </c>
      <c r="I10" s="309"/>
      <c r="J10" s="309"/>
    </row>
    <row r="11" spans="1:12" x14ac:dyDescent="0.2">
      <c r="A11" s="309" t="s">
        <v>854</v>
      </c>
      <c r="B11" s="309"/>
      <c r="C11" s="309" t="s">
        <v>827</v>
      </c>
      <c r="D11" s="309" t="s">
        <v>315</v>
      </c>
      <c r="E11" s="309" t="s">
        <v>837</v>
      </c>
      <c r="F11" s="309" t="s">
        <v>34</v>
      </c>
      <c r="G11" s="309" t="s">
        <v>33</v>
      </c>
      <c r="H11" s="309" t="s">
        <v>776</v>
      </c>
      <c r="I11" s="309"/>
      <c r="J11" s="309"/>
    </row>
    <row r="12" spans="1:12" x14ac:dyDescent="0.2">
      <c r="A12" s="309" t="s">
        <v>854</v>
      </c>
      <c r="B12" s="309"/>
      <c r="C12" s="309" t="s">
        <v>828</v>
      </c>
      <c r="D12" s="309" t="s">
        <v>315</v>
      </c>
      <c r="E12" s="309" t="s">
        <v>836</v>
      </c>
      <c r="F12" s="309" t="s">
        <v>34</v>
      </c>
      <c r="G12" s="309" t="s">
        <v>33</v>
      </c>
      <c r="H12" s="309" t="s">
        <v>776</v>
      </c>
      <c r="I12" s="309"/>
      <c r="J12" s="309"/>
    </row>
    <row r="13" spans="1:12" x14ac:dyDescent="0.2">
      <c r="A13" s="309" t="s">
        <v>847</v>
      </c>
      <c r="B13" s="309"/>
      <c r="C13" s="309" t="s">
        <v>829</v>
      </c>
      <c r="D13" s="309" t="s">
        <v>315</v>
      </c>
      <c r="E13" s="309" t="s">
        <v>838</v>
      </c>
      <c r="F13" s="309" t="s">
        <v>34</v>
      </c>
      <c r="G13" s="309" t="s">
        <v>33</v>
      </c>
      <c r="H13" s="309" t="s">
        <v>792</v>
      </c>
      <c r="I13" s="309"/>
      <c r="J13" s="309"/>
    </row>
    <row r="14" spans="1:12" x14ac:dyDescent="0.2">
      <c r="A14" s="309" t="s">
        <v>847</v>
      </c>
      <c r="B14" s="309"/>
      <c r="C14" s="309" t="s">
        <v>830</v>
      </c>
      <c r="D14" s="309" t="s">
        <v>315</v>
      </c>
      <c r="E14" s="309" t="s">
        <v>839</v>
      </c>
      <c r="F14" s="309" t="s">
        <v>34</v>
      </c>
      <c r="G14" s="309" t="s">
        <v>33</v>
      </c>
      <c r="H14" s="309" t="s">
        <v>776</v>
      </c>
      <c r="I14" s="309"/>
      <c r="J14" s="309"/>
    </row>
    <row r="15" spans="1:12" x14ac:dyDescent="0.2">
      <c r="A15" s="309" t="s">
        <v>847</v>
      </c>
      <c r="B15" s="309"/>
      <c r="C15" s="309" t="s">
        <v>831</v>
      </c>
      <c r="D15" s="309" t="s">
        <v>178</v>
      </c>
      <c r="E15" s="309" t="s">
        <v>840</v>
      </c>
      <c r="F15" s="309" t="s">
        <v>34</v>
      </c>
      <c r="G15" s="309" t="s">
        <v>33</v>
      </c>
      <c r="H15" s="309" t="s">
        <v>776</v>
      </c>
      <c r="I15" s="309"/>
      <c r="J15" s="309"/>
    </row>
    <row r="16" spans="1:12" x14ac:dyDescent="0.2">
      <c r="A16" s="309" t="s">
        <v>847</v>
      </c>
      <c r="B16" s="309"/>
      <c r="C16" s="309" t="s">
        <v>813</v>
      </c>
      <c r="D16" s="309" t="s">
        <v>178</v>
      </c>
      <c r="E16" s="309" t="s">
        <v>841</v>
      </c>
      <c r="F16" s="309" t="s">
        <v>33</v>
      </c>
      <c r="G16" s="309" t="s">
        <v>33</v>
      </c>
      <c r="H16" s="309" t="s">
        <v>776</v>
      </c>
      <c r="I16" s="309"/>
      <c r="J16" s="309" t="s">
        <v>814</v>
      </c>
    </row>
    <row r="17" spans="1:10" x14ac:dyDescent="0.2">
      <c r="A17" s="309" t="s">
        <v>855</v>
      </c>
      <c r="B17" s="309"/>
      <c r="C17" s="309" t="s">
        <v>851</v>
      </c>
      <c r="D17" s="309" t="s">
        <v>315</v>
      </c>
      <c r="E17" s="309" t="s">
        <v>852</v>
      </c>
      <c r="F17" s="309" t="s">
        <v>33</v>
      </c>
      <c r="G17" s="309" t="s">
        <v>33</v>
      </c>
      <c r="H17" s="309" t="s">
        <v>792</v>
      </c>
      <c r="I17" s="309"/>
      <c r="J17" s="309"/>
    </row>
    <row r="18" spans="1:10" x14ac:dyDescent="0.2">
      <c r="A18" s="309" t="s">
        <v>855</v>
      </c>
      <c r="B18" s="309"/>
      <c r="C18" s="309" t="s">
        <v>860</v>
      </c>
      <c r="D18" s="309" t="s">
        <v>313</v>
      </c>
      <c r="E18" s="309" t="s">
        <v>890</v>
      </c>
      <c r="F18" s="309" t="s">
        <v>33</v>
      </c>
      <c r="G18" s="309" t="s">
        <v>33</v>
      </c>
      <c r="H18" s="309" t="s">
        <v>776</v>
      </c>
      <c r="I18" s="309"/>
      <c r="J18" s="309"/>
    </row>
    <row r="19" spans="1:10" x14ac:dyDescent="0.2">
      <c r="A19" s="53" t="s">
        <v>861</v>
      </c>
      <c r="B19" s="53"/>
      <c r="C19" s="53" t="s">
        <v>888</v>
      </c>
      <c r="D19" s="53" t="s">
        <v>315</v>
      </c>
      <c r="E19" s="309" t="s">
        <v>889</v>
      </c>
      <c r="F19" s="53" t="s">
        <v>33</v>
      </c>
      <c r="G19" s="53" t="s">
        <v>33</v>
      </c>
      <c r="H19" s="53" t="s">
        <v>792</v>
      </c>
      <c r="I19" s="53" t="s">
        <v>850</v>
      </c>
      <c r="J19" s="53"/>
    </row>
    <row r="20" spans="1:10" x14ac:dyDescent="0.2">
      <c r="A20" s="309" t="s">
        <v>861</v>
      </c>
      <c r="B20" s="309"/>
      <c r="C20" s="309" t="s">
        <v>863</v>
      </c>
      <c r="D20" s="309" t="s">
        <v>178</v>
      </c>
      <c r="E20" s="309"/>
      <c r="F20" s="309" t="s">
        <v>33</v>
      </c>
      <c r="G20" s="309" t="s">
        <v>33</v>
      </c>
      <c r="H20" s="309"/>
      <c r="I20" s="309"/>
      <c r="J20" s="309"/>
    </row>
    <row r="21" spans="1:10" x14ac:dyDescent="0.2">
      <c r="A21" s="309" t="s">
        <v>861</v>
      </c>
      <c r="B21" s="309"/>
      <c r="C21" s="309" t="s">
        <v>862</v>
      </c>
      <c r="D21" s="309" t="s">
        <v>315</v>
      </c>
      <c r="E21" s="309" t="s">
        <v>891</v>
      </c>
      <c r="F21" s="309" t="s">
        <v>33</v>
      </c>
      <c r="G21" s="309" t="s">
        <v>33</v>
      </c>
      <c r="H21" s="309" t="s">
        <v>790</v>
      </c>
      <c r="I21" s="309" t="s">
        <v>855</v>
      </c>
      <c r="J21" s="309"/>
    </row>
    <row r="22" spans="1:10" x14ac:dyDescent="0.2">
      <c r="A22" s="53" t="s">
        <v>850</v>
      </c>
      <c r="B22" s="53"/>
      <c r="C22" s="53" t="s">
        <v>881</v>
      </c>
      <c r="D22" s="53" t="s">
        <v>315</v>
      </c>
      <c r="E22" s="309" t="s">
        <v>899</v>
      </c>
      <c r="F22" s="53" t="s">
        <v>33</v>
      </c>
      <c r="G22" s="53" t="s">
        <v>33</v>
      </c>
      <c r="H22" s="53" t="s">
        <v>301</v>
      </c>
      <c r="I22" s="53"/>
      <c r="J22" s="53"/>
    </row>
    <row r="23" spans="1:10" x14ac:dyDescent="0.2">
      <c r="A23" s="309" t="s">
        <v>850</v>
      </c>
      <c r="B23" s="309"/>
      <c r="C23" s="309" t="s">
        <v>857</v>
      </c>
      <c r="D23" s="309" t="s">
        <v>315</v>
      </c>
      <c r="E23" s="309" t="s">
        <v>892</v>
      </c>
      <c r="F23" s="309" t="s">
        <v>33</v>
      </c>
      <c r="G23" s="309" t="s">
        <v>33</v>
      </c>
      <c r="H23" s="309" t="s">
        <v>790</v>
      </c>
      <c r="I23" s="309" t="s">
        <v>854</v>
      </c>
      <c r="J23" s="309"/>
    </row>
    <row r="24" spans="1:10" ht="30" x14ac:dyDescent="0.2">
      <c r="A24" s="309" t="s">
        <v>850</v>
      </c>
      <c r="B24" s="309"/>
      <c r="C24" s="309" t="s">
        <v>858</v>
      </c>
      <c r="D24" s="309" t="s">
        <v>178</v>
      </c>
      <c r="E24" s="309" t="s">
        <v>896</v>
      </c>
      <c r="F24" s="309" t="s">
        <v>33</v>
      </c>
      <c r="G24" s="309" t="s">
        <v>33</v>
      </c>
      <c r="H24" s="309" t="s">
        <v>776</v>
      </c>
      <c r="I24" s="309"/>
      <c r="J24" s="309"/>
    </row>
    <row r="25" spans="1:10" x14ac:dyDescent="0.2">
      <c r="A25" s="309" t="s">
        <v>850</v>
      </c>
      <c r="B25" s="309"/>
      <c r="C25" s="309" t="s">
        <v>859</v>
      </c>
      <c r="D25" s="309" t="s">
        <v>178</v>
      </c>
      <c r="E25" s="309" t="s">
        <v>895</v>
      </c>
      <c r="F25" s="309" t="s">
        <v>33</v>
      </c>
      <c r="G25" s="309" t="s">
        <v>33</v>
      </c>
      <c r="H25" s="309" t="s">
        <v>776</v>
      </c>
      <c r="I25" s="309"/>
      <c r="J25" s="309"/>
    </row>
  </sheetData>
  <mergeCells count="1">
    <mergeCell ref="A3:L3"/>
  </mergeCells>
  <dataValidations count="7">
    <dataValidation type="list" allowBlank="1" showInputMessage="1" showErrorMessage="1" sqref="D2:D3" xr:uid="{2A40E195-666A-404D-BCCB-3D750F6DD94D}">
      <formula1>N_DataAttributeType</formula1>
    </dataValidation>
    <dataValidation type="list" allowBlank="1" showInputMessage="1" showErrorMessage="1" sqref="B2:B3 B5:B6 I6:I25" xr:uid="{9BC73E76-5FDA-3B4D-88EC-9A5D98B5C960}">
      <formula1>Id_DataEntity_NoDuplicates</formula1>
    </dataValidation>
    <dataValidation type="list" allowBlank="1" showInputMessage="1" showErrorMessage="1" promptTitle="Input Validation" prompt="Choose a previously defined data entity" sqref="B7:B25" xr:uid="{FF9DEEE7-F71E-C843-B090-8491627C48D2}">
      <formula1>Id_DataEntity_NoDuplicates</formula1>
    </dataValidation>
    <dataValidation allowBlank="1" showErrorMessage="1" sqref="E7:E25" xr:uid="{B507DE25-C48D-8040-AD69-7B060F5A6585}"/>
    <dataValidation type="list" allowBlank="1" showInputMessage="1" showErrorMessage="1" sqref="H6:H25" xr:uid="{21156315-665F-5F4B-BC66-6E898FC19511}">
      <formula1>N_DataEntityConstraintType</formula1>
    </dataValidation>
    <dataValidation type="list" allowBlank="1" showInputMessage="1" showErrorMessage="1" sqref="F6:G25" xr:uid="{0B29602D-8856-9F45-B796-3F45ABA2FDD2}">
      <formula1>N_Boolean</formula1>
    </dataValidation>
    <dataValidation type="list" allowBlank="1" showInputMessage="1" showErrorMessage="1" sqref="D5:D25" xr:uid="{279B76B7-E72E-434E-9D7A-74907D46AB54}">
      <formula1>ID_TypesAndDataEntities</formula1>
    </dataValidation>
  </dataValidations>
  <hyperlinks>
    <hyperlink ref="A1" location="index!A1" display="Back to Index" xr:uid="{7A70D55A-8516-C741-B8B0-3A97F24DC077}"/>
  </hyperlinks>
  <pageMargins left="0.7" right="0.7" top="0.75" bottom="0.75" header="0.3" footer="0.3"/>
  <pageSetup paperSize="9" orientation="portrait" horizontalDpi="0" verticalDpi="0"/>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BEB77-5D0C-FD44-ADC0-092C9B91A4AB}">
  <sheetPr codeName="Sheet8">
    <tabColor theme="6" tint="0.39997558519241921"/>
  </sheetPr>
  <dimension ref="A1:K25"/>
  <sheetViews>
    <sheetView zoomScale="166" workbookViewId="0">
      <selection activeCell="A22" sqref="A22"/>
    </sheetView>
  </sheetViews>
  <sheetFormatPr baseColWidth="10" defaultRowHeight="15" x14ac:dyDescent="0.2"/>
  <cols>
    <col min="1" max="1" width="20.33203125" customWidth="1"/>
    <col min="2" max="2" width="16.6640625" customWidth="1"/>
    <col min="3" max="3" width="13" customWidth="1"/>
    <col min="4" max="4" width="13.83203125" customWidth="1"/>
    <col min="5" max="5" width="18" customWidth="1"/>
    <col min="6" max="6" width="8.33203125" customWidth="1"/>
  </cols>
  <sheetData>
    <row r="1" spans="1:11" x14ac:dyDescent="0.2">
      <c r="A1" s="6" t="s">
        <v>13</v>
      </c>
    </row>
    <row r="2" spans="1:11" ht="24" x14ac:dyDescent="0.3">
      <c r="A2" s="20" t="str">
        <f>Index!A1</f>
        <v>Online Boutique Requirements Specification</v>
      </c>
      <c r="B2" s="20"/>
      <c r="C2" s="20"/>
      <c r="D2" s="20"/>
      <c r="E2" s="20"/>
      <c r="F2" s="20"/>
      <c r="G2" s="20"/>
      <c r="H2" s="7"/>
      <c r="I2" s="7"/>
      <c r="J2" s="7"/>
      <c r="K2" s="7"/>
    </row>
    <row r="3" spans="1:11" ht="24" x14ac:dyDescent="0.3">
      <c r="A3" s="317" t="s">
        <v>887</v>
      </c>
      <c r="B3" s="317"/>
      <c r="C3" s="317"/>
      <c r="D3" s="317"/>
      <c r="E3" s="317"/>
      <c r="F3" s="317"/>
      <c r="G3" s="317"/>
      <c r="H3" s="317"/>
      <c r="I3" s="317"/>
      <c r="J3" s="317"/>
      <c r="K3" s="317"/>
    </row>
    <row r="5" spans="1:11" x14ac:dyDescent="0.2">
      <c r="A5" s="285" t="s">
        <v>21</v>
      </c>
      <c r="B5" s="286" t="s">
        <v>778</v>
      </c>
      <c r="C5" s="287" t="s">
        <v>817</v>
      </c>
      <c r="D5" s="287" t="s">
        <v>5</v>
      </c>
      <c r="E5" s="287" t="s">
        <v>16</v>
      </c>
      <c r="F5" s="288" t="s">
        <v>823</v>
      </c>
    </row>
    <row r="6" spans="1:11" x14ac:dyDescent="0.2">
      <c r="A6" s="292" t="s">
        <v>864</v>
      </c>
      <c r="B6" s="293" t="s">
        <v>854</v>
      </c>
      <c r="C6" s="293" t="s">
        <v>881</v>
      </c>
      <c r="D6" s="293" t="str">
        <f>VLOOKUP(T_DataEntitiesValues[[#This Row],[Attribute]],Object.DataEntityAttributes!$C$1:$D$10004,2,FALSE)</f>
        <v>Integer</v>
      </c>
      <c r="E6" s="293">
        <v>1</v>
      </c>
      <c r="F6" s="294"/>
    </row>
    <row r="7" spans="1:11" ht="16" x14ac:dyDescent="0.2">
      <c r="A7" s="292" t="s">
        <v>864</v>
      </c>
      <c r="B7" s="293" t="s">
        <v>854</v>
      </c>
      <c r="C7" s="225" t="s">
        <v>811</v>
      </c>
      <c r="D7" s="293" t="s">
        <v>315</v>
      </c>
      <c r="E7" s="295" t="s">
        <v>843</v>
      </c>
      <c r="F7" s="294" t="s">
        <v>33</v>
      </c>
    </row>
    <row r="8" spans="1:11" x14ac:dyDescent="0.2">
      <c r="A8" s="292" t="s">
        <v>864</v>
      </c>
      <c r="B8" s="293" t="s">
        <v>854</v>
      </c>
      <c r="C8" s="293" t="s">
        <v>824</v>
      </c>
      <c r="D8" s="293" t="str">
        <f>VLOOKUP(T_DataEntitiesValues[[#This Row],[Attribute]],Object.DataEntityAttributes!$C$1:$D$10004,2,FALSE)</f>
        <v>String</v>
      </c>
      <c r="E8" s="293" t="s">
        <v>824</v>
      </c>
      <c r="F8" s="294" t="s">
        <v>33</v>
      </c>
    </row>
    <row r="9" spans="1:11" x14ac:dyDescent="0.2">
      <c r="A9" s="292" t="s">
        <v>864</v>
      </c>
      <c r="B9" s="293" t="s">
        <v>854</v>
      </c>
      <c r="C9" s="293" t="s">
        <v>825</v>
      </c>
      <c r="D9" s="293" t="str">
        <f>VLOOKUP(T_DataEntitiesValues[[#This Row],[Attribute]],Object.DataEntityAttributes!$C$1:$D$10004,2,FALSE)</f>
        <v>String</v>
      </c>
      <c r="E9" s="293">
        <v>1234</v>
      </c>
      <c r="F9" s="294" t="s">
        <v>33</v>
      </c>
    </row>
    <row r="10" spans="1:11" x14ac:dyDescent="0.2">
      <c r="A10" s="292" t="s">
        <v>864</v>
      </c>
      <c r="B10" s="293" t="s">
        <v>854</v>
      </c>
      <c r="C10" s="293" t="s">
        <v>826</v>
      </c>
      <c r="D10" s="293" t="str">
        <f>VLOOKUP(T_DataEntitiesValues[[#This Row],[Attribute]],Object.DataEntityAttributes!$C$1:$D$10004,2,FALSE)</f>
        <v>String</v>
      </c>
      <c r="E10" s="293" t="s">
        <v>826</v>
      </c>
      <c r="F10" s="294" t="s">
        <v>33</v>
      </c>
    </row>
    <row r="11" spans="1:11" x14ac:dyDescent="0.2">
      <c r="A11" s="292" t="s">
        <v>864</v>
      </c>
      <c r="B11" s="293" t="s">
        <v>854</v>
      </c>
      <c r="C11" s="293" t="s">
        <v>827</v>
      </c>
      <c r="D11" s="293" t="str">
        <f>VLOOKUP(T_DataEntitiesValues[[#This Row],[Attribute]],Object.DataEntityAttributes!$C$1:$D$10004,2,FALSE)</f>
        <v>String</v>
      </c>
      <c r="E11" s="293" t="s">
        <v>827</v>
      </c>
      <c r="F11" s="294" t="s">
        <v>33</v>
      </c>
    </row>
    <row r="12" spans="1:11" x14ac:dyDescent="0.2">
      <c r="A12" s="292" t="s">
        <v>864</v>
      </c>
      <c r="B12" s="293" t="s">
        <v>854</v>
      </c>
      <c r="C12" s="293" t="s">
        <v>828</v>
      </c>
      <c r="D12" s="293" t="str">
        <f>VLOOKUP(T_DataEntitiesValues[[#This Row],[Attribute]],Object.DataEntityAttributes!$C$1:$D$10004,2,FALSE)</f>
        <v>String</v>
      </c>
      <c r="E12" s="293" t="s">
        <v>828</v>
      </c>
      <c r="F12" s="294" t="s">
        <v>33</v>
      </c>
    </row>
    <row r="13" spans="1:11" ht="15" customHeight="1" x14ac:dyDescent="0.2">
      <c r="A13" s="292" t="s">
        <v>893</v>
      </c>
      <c r="B13" s="293" t="s">
        <v>847</v>
      </c>
      <c r="C13" s="293" t="s">
        <v>829</v>
      </c>
      <c r="D13" s="293" t="str">
        <f>VLOOKUP(T_DataEntitiesValues[[#This Row],[Attribute]],Object.DataEntityAttributes!$C$1:$D$10004,2,FALSE)</f>
        <v>String</v>
      </c>
      <c r="E13" s="293" t="s">
        <v>844</v>
      </c>
      <c r="F13" s="294" t="s">
        <v>33</v>
      </c>
    </row>
    <row r="14" spans="1:11" x14ac:dyDescent="0.2">
      <c r="A14" s="292" t="s">
        <v>893</v>
      </c>
      <c r="B14" s="293" t="s">
        <v>847</v>
      </c>
      <c r="C14" s="293" t="s">
        <v>830</v>
      </c>
      <c r="D14" s="293" t="str">
        <f>VLOOKUP(T_DataEntitiesValues[[#This Row],[Attribute]],Object.DataEntityAttributes!$C$1:$D$10004,2,FALSE)</f>
        <v>String</v>
      </c>
      <c r="E14" s="293" t="s">
        <v>845</v>
      </c>
      <c r="F14" s="294" t="s">
        <v>33</v>
      </c>
    </row>
    <row r="15" spans="1:11" x14ac:dyDescent="0.2">
      <c r="A15" s="292" t="s">
        <v>893</v>
      </c>
      <c r="B15" s="293" t="s">
        <v>847</v>
      </c>
      <c r="C15" s="293" t="s">
        <v>831</v>
      </c>
      <c r="D15" s="293" t="str">
        <f>VLOOKUP(T_DataEntitiesValues[[#This Row],[Attribute]],Object.DataEntityAttributes!$C$1:$D$10004,2,FALSE)</f>
        <v>Integer</v>
      </c>
      <c r="E15" s="293">
        <v>2020</v>
      </c>
      <c r="F15" s="294" t="s">
        <v>33</v>
      </c>
    </row>
    <row r="16" spans="1:11" x14ac:dyDescent="0.2">
      <c r="A16" s="292" t="s">
        <v>893</v>
      </c>
      <c r="B16" s="293" t="s">
        <v>847</v>
      </c>
      <c r="C16" s="293" t="s">
        <v>813</v>
      </c>
      <c r="D16" s="293" t="str">
        <f>VLOOKUP(T_DataEntitiesValues[[#This Row],[Attribute]],Object.DataEntityAttributes!$C$1:$D$10004,2,FALSE)</f>
        <v>Integer</v>
      </c>
      <c r="E16" s="293">
        <v>123</v>
      </c>
      <c r="F16" s="294" t="s">
        <v>33</v>
      </c>
    </row>
    <row r="17" spans="1:6" x14ac:dyDescent="0.2">
      <c r="A17" s="292" t="s">
        <v>897</v>
      </c>
      <c r="B17" s="293" t="s">
        <v>855</v>
      </c>
      <c r="C17" s="293" t="s">
        <v>851</v>
      </c>
      <c r="D17" s="293" t="s">
        <v>313</v>
      </c>
      <c r="E17" s="293" t="s">
        <v>853</v>
      </c>
      <c r="F17" s="294" t="s">
        <v>33</v>
      </c>
    </row>
    <row r="18" spans="1:6" x14ac:dyDescent="0.2">
      <c r="A18" s="292" t="s">
        <v>897</v>
      </c>
      <c r="B18" s="293" t="s">
        <v>855</v>
      </c>
      <c r="C18" s="293" t="s">
        <v>860</v>
      </c>
      <c r="D18" s="293" t="str">
        <f>VLOOKUP(T_DataEntitiesValues[[#This Row],[Attribute]],Object.DataEntityAttributes!$C$1:$D$10004,2,FALSE)</f>
        <v>Double</v>
      </c>
      <c r="E18" s="293" t="s">
        <v>898</v>
      </c>
      <c r="F18" s="294" t="s">
        <v>33</v>
      </c>
    </row>
    <row r="19" spans="1:6" x14ac:dyDescent="0.2">
      <c r="A19" s="292" t="s">
        <v>865</v>
      </c>
      <c r="B19" s="293" t="s">
        <v>861</v>
      </c>
      <c r="C19" s="293" t="s">
        <v>888</v>
      </c>
      <c r="D19" s="293" t="s">
        <v>315</v>
      </c>
      <c r="E19" s="293" t="s">
        <v>900</v>
      </c>
      <c r="F19" s="294" t="s">
        <v>33</v>
      </c>
    </row>
    <row r="20" spans="1:6" x14ac:dyDescent="0.2">
      <c r="A20" s="292" t="s">
        <v>865</v>
      </c>
      <c r="B20" s="293" t="s">
        <v>861</v>
      </c>
      <c r="C20" s="293" t="s">
        <v>863</v>
      </c>
      <c r="D20" s="293" t="str">
        <f>VLOOKUP(T_DataEntitiesValues[[#This Row],[Attribute]],Object.DataEntityAttributes!$C$1:$D$10004,2,FALSE)</f>
        <v>Integer</v>
      </c>
      <c r="E20" s="293">
        <v>1</v>
      </c>
      <c r="F20" s="294"/>
    </row>
    <row r="21" spans="1:6" x14ac:dyDescent="0.2">
      <c r="A21" s="292" t="s">
        <v>865</v>
      </c>
      <c r="B21" s="293" t="s">
        <v>861</v>
      </c>
      <c r="C21" s="293" t="s">
        <v>862</v>
      </c>
      <c r="D21" s="293" t="str">
        <f>VLOOKUP(T_DataEntitiesValues[[#This Row],[Attribute]],Object.DataEntityAttributes!$C$1:$D$10004,2,FALSE)</f>
        <v>String</v>
      </c>
      <c r="E21" s="293" t="s">
        <v>897</v>
      </c>
      <c r="F21" s="294" t="s">
        <v>33</v>
      </c>
    </row>
    <row r="22" spans="1:6" x14ac:dyDescent="0.2">
      <c r="A22" s="292" t="s">
        <v>894</v>
      </c>
      <c r="B22" s="293" t="s">
        <v>850</v>
      </c>
      <c r="C22" s="293" t="s">
        <v>881</v>
      </c>
      <c r="D22" s="293" t="s">
        <v>315</v>
      </c>
      <c r="E22" s="293" t="s">
        <v>900</v>
      </c>
      <c r="F22" s="294" t="s">
        <v>33</v>
      </c>
    </row>
    <row r="23" spans="1:6" x14ac:dyDescent="0.2">
      <c r="A23" s="292" t="s">
        <v>894</v>
      </c>
      <c r="B23" s="293" t="s">
        <v>850</v>
      </c>
      <c r="C23" s="293" t="s">
        <v>857</v>
      </c>
      <c r="D23" s="293" t="str">
        <f>VLOOKUP(T_DataEntitiesValues[[#This Row],[Attribute]],Object.DataEntityAttributes!$C$1:$D$10004,2,FALSE)</f>
        <v>String</v>
      </c>
      <c r="E23" s="293" t="s">
        <v>864</v>
      </c>
      <c r="F23" s="294" t="s">
        <v>33</v>
      </c>
    </row>
    <row r="24" spans="1:6" x14ac:dyDescent="0.2">
      <c r="A24" s="292" t="s">
        <v>894</v>
      </c>
      <c r="B24" s="293" t="s">
        <v>850</v>
      </c>
      <c r="C24" s="293" t="s">
        <v>858</v>
      </c>
      <c r="D24" s="293" t="str">
        <f>VLOOKUP(T_DataEntitiesValues[[#This Row],[Attribute]],Object.DataEntityAttributes!$C$1:$D$10004,2,FALSE)</f>
        <v>Integer</v>
      </c>
      <c r="E24" s="293" t="s">
        <v>898</v>
      </c>
      <c r="F24" s="294" t="s">
        <v>33</v>
      </c>
    </row>
    <row r="25" spans="1:6" x14ac:dyDescent="0.2">
      <c r="A25" s="292" t="s">
        <v>894</v>
      </c>
      <c r="B25" s="293" t="s">
        <v>850</v>
      </c>
      <c r="C25" s="293" t="s">
        <v>859</v>
      </c>
      <c r="D25" s="293" t="str">
        <f>VLOOKUP(T_DataEntitiesValues[[#This Row],[Attribute]],Object.DataEntityAttributes!$C$1:$D$10004,2,FALSE)</f>
        <v>Integer</v>
      </c>
      <c r="E25" s="293">
        <v>1</v>
      </c>
      <c r="F25" s="294" t="s">
        <v>33</v>
      </c>
    </row>
  </sheetData>
  <mergeCells count="1">
    <mergeCell ref="A3:K3"/>
  </mergeCells>
  <dataValidations count="5">
    <dataValidation type="list" allowBlank="1" showInputMessage="1" showErrorMessage="1" sqref="B2:B3 B6:B25" xr:uid="{50B01464-F9FF-AE49-9ED2-1F54D7522E90}">
      <formula1>Id_DataEntity_NoDuplicates</formula1>
    </dataValidation>
    <dataValidation type="list" allowBlank="1" showInputMessage="1" showErrorMessage="1" sqref="D2:D3" xr:uid="{EF8774EE-19AF-A647-B9A4-19A8F02F025B}">
      <formula1>N_DataAttributeType</formula1>
    </dataValidation>
    <dataValidation type="list" allowBlank="1" showInputMessage="1" showErrorMessage="1" sqref="F6:F25" xr:uid="{141508F4-E719-0940-B3C9-CB764789431F}">
      <formula1>N_Boolean</formula1>
    </dataValidation>
    <dataValidation type="list" allowBlank="1" showInputMessage="1" showErrorMessage="1" sqref="D6:D25" xr:uid="{114543C7-C532-814B-BD1E-84B9AFDA51AB}">
      <formula1>ID_TypesAndDataEntities</formula1>
    </dataValidation>
    <dataValidation type="list" allowBlank="1" showInputMessage="1" showErrorMessage="1" sqref="C6:C25" xr:uid="{3F8B2F34-4256-4444-B4F3-213CCDCC23E3}">
      <formula1>N_Attribute</formula1>
    </dataValidation>
  </dataValidations>
  <hyperlinks>
    <hyperlink ref="A1" location="index!A1" display="Back to Index" xr:uid="{D7B83EC3-D901-8D47-AF82-E93C6F5DC6E7}"/>
    <hyperlink ref="E7" r:id="rId1" xr:uid="{FA3A899E-DBD5-9043-8099-0DF4C84167C6}"/>
  </hyperlinks>
  <pageMargins left="0.7" right="0.7" top="0.75" bottom="0.75" header="0.3" footer="0.3"/>
  <pageSetup paperSize="9" orientation="portrait" horizontalDpi="0" verticalDpi="0"/>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B8B16-82DE-F045-9218-241AA9A96067}">
  <sheetPr codeName="Sheet28">
    <tabColor theme="6" tint="0.39997558519241921"/>
  </sheetPr>
  <dimension ref="A1:M6"/>
  <sheetViews>
    <sheetView zoomScale="125" workbookViewId="0">
      <selection activeCell="F6" sqref="F6"/>
    </sheetView>
  </sheetViews>
  <sheetFormatPr baseColWidth="10" defaultRowHeight="15" x14ac:dyDescent="0.2"/>
  <cols>
    <col min="1" max="1" width="17.6640625" customWidth="1"/>
    <col min="2" max="2" width="22.1640625" customWidth="1"/>
    <col min="4" max="4" width="14" customWidth="1"/>
    <col min="5" max="5" width="17.5" customWidth="1"/>
    <col min="6" max="6" width="19.1640625" customWidth="1"/>
    <col min="7" max="7" width="18.83203125" customWidth="1"/>
  </cols>
  <sheetData>
    <row r="1" spans="1:13" x14ac:dyDescent="0.2">
      <c r="A1" s="6" t="s">
        <v>13</v>
      </c>
    </row>
    <row r="2" spans="1:13" ht="24" x14ac:dyDescent="0.3">
      <c r="A2" s="20" t="str">
        <f>Index!A1</f>
        <v>Online Boutique Requirements Specification</v>
      </c>
      <c r="B2" s="20"/>
      <c r="C2" s="20"/>
      <c r="D2" s="20"/>
      <c r="E2" s="20"/>
      <c r="F2" s="20"/>
      <c r="G2" s="20"/>
      <c r="H2" s="20"/>
      <c r="I2" s="20"/>
      <c r="J2" s="7"/>
      <c r="K2" s="7"/>
      <c r="L2" s="7"/>
      <c r="M2" s="7"/>
    </row>
    <row r="3" spans="1:13" ht="24" x14ac:dyDescent="0.3">
      <c r="A3" s="317" t="s">
        <v>868</v>
      </c>
      <c r="B3" s="317"/>
      <c r="C3" s="317"/>
      <c r="D3" s="317"/>
      <c r="E3" s="317"/>
      <c r="F3" s="317"/>
      <c r="G3" s="317"/>
      <c r="H3" s="317"/>
      <c r="I3" s="317"/>
      <c r="J3" s="317"/>
      <c r="K3" s="317"/>
      <c r="L3" s="317"/>
      <c r="M3" s="317"/>
    </row>
    <row r="5" spans="1:13" ht="17" x14ac:dyDescent="0.2">
      <c r="A5" s="300" t="s">
        <v>21</v>
      </c>
      <c r="B5" s="301" t="s">
        <v>127</v>
      </c>
      <c r="C5" s="302" t="s">
        <v>22</v>
      </c>
      <c r="D5" s="302" t="s">
        <v>196</v>
      </c>
      <c r="E5" s="302" t="s">
        <v>871</v>
      </c>
      <c r="F5" s="302" t="s">
        <v>870</v>
      </c>
      <c r="G5" s="303" t="s">
        <v>2</v>
      </c>
    </row>
    <row r="6" spans="1:13" ht="45" x14ac:dyDescent="0.2">
      <c r="A6" s="304" t="s">
        <v>901</v>
      </c>
      <c r="B6" s="305" t="s">
        <v>803</v>
      </c>
      <c r="C6" s="305" t="s">
        <v>591</v>
      </c>
      <c r="D6" s="305" t="s">
        <v>894</v>
      </c>
      <c r="E6" s="305" t="s">
        <v>865</v>
      </c>
      <c r="F6" s="305" t="s">
        <v>902</v>
      </c>
      <c r="G6" s="306"/>
    </row>
  </sheetData>
  <mergeCells count="1">
    <mergeCell ref="A3:M3"/>
  </mergeCells>
  <dataValidations count="3">
    <dataValidation type="list" allowBlank="1" showInputMessage="1" showErrorMessage="1" sqref="D2:D3" xr:uid="{B6B3AE37-43C1-5D4F-A1D3-0D895FC1481A}">
      <formula1>N_DataAttributeType</formula1>
    </dataValidation>
    <dataValidation type="list" allowBlank="1" showInputMessage="1" showErrorMessage="1" sqref="B2:B3" xr:uid="{A58CF5E5-6689-BD41-B955-F309BA391C5E}">
      <formula1>Id_DataEntity_NoDuplicates</formula1>
    </dataValidation>
    <dataValidation type="list" allowBlank="1" showInputMessage="1" showErrorMessage="1" sqref="C6" xr:uid="{06E9C74A-200D-C44E-8837-25FA88C8060F}">
      <formula1>N_DataEntityClusterType</formula1>
    </dataValidation>
  </dataValidations>
  <hyperlinks>
    <hyperlink ref="A1" location="index!A1" display="Back to Index" xr:uid="{E8E19F42-8A26-9043-9C45-2D6291ECA3F8}"/>
  </hyperlinks>
  <pageMargins left="0.7" right="0.7" top="0.75" bottom="0.75" header="0.3" footer="0.3"/>
  <pageSetup paperSize="9" orientation="portrait" horizontalDpi="0" verticalDpi="0"/>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A257A-6E91-0346-AC9E-E97451BE1ABF}">
  <sheetPr codeName="Sheet30">
    <tabColor theme="3" tint="0.39997558519241921"/>
  </sheetPr>
  <dimension ref="A1:N7"/>
  <sheetViews>
    <sheetView zoomScale="143" zoomScaleNormal="178" workbookViewId="0">
      <selection activeCell="C8" sqref="C8"/>
    </sheetView>
  </sheetViews>
  <sheetFormatPr baseColWidth="10" defaultColWidth="11.5" defaultRowHeight="15" x14ac:dyDescent="0.2"/>
  <cols>
    <col min="1" max="1" width="8" customWidth="1"/>
    <col min="2" max="2" width="27.33203125" customWidth="1"/>
    <col min="3" max="3" width="77.6640625" customWidth="1"/>
    <col min="4" max="4" width="7.33203125" hidden="1" customWidth="1"/>
    <col min="5" max="6" width="0.1640625" hidden="1" customWidth="1"/>
    <col min="7" max="7" width="5.83203125" hidden="1" customWidth="1"/>
    <col min="8" max="8" width="17.5" customWidth="1"/>
    <col min="9" max="9" width="15.6640625" customWidth="1"/>
    <col min="10" max="10" width="24.5" customWidth="1"/>
    <col min="11" max="11" width="21.33203125" customWidth="1"/>
    <col min="12" max="12" width="11.6640625" customWidth="1"/>
  </cols>
  <sheetData>
    <row r="1" spans="1:14" x14ac:dyDescent="0.2">
      <c r="A1" s="6" t="s">
        <v>13</v>
      </c>
    </row>
    <row r="3" spans="1:14" ht="24" x14ac:dyDescent="0.3">
      <c r="A3" s="21" t="str">
        <f>Index!A1</f>
        <v>Online Boutique Requirements Specification</v>
      </c>
      <c r="B3" s="12"/>
      <c r="C3" s="12"/>
      <c r="D3" s="12"/>
      <c r="E3" s="12"/>
      <c r="F3" s="12"/>
      <c r="G3" s="252"/>
      <c r="H3" s="252"/>
      <c r="I3" s="252"/>
      <c r="J3" s="252"/>
      <c r="K3" s="252"/>
      <c r="L3" s="252"/>
      <c r="M3" s="252"/>
      <c r="N3" s="252"/>
    </row>
    <row r="4" spans="1:14" ht="24" x14ac:dyDescent="0.3">
      <c r="A4" s="317" t="s">
        <v>767</v>
      </c>
      <c r="B4" s="317"/>
      <c r="C4" s="317"/>
      <c r="D4" s="317"/>
      <c r="E4" s="317"/>
      <c r="F4" s="317"/>
      <c r="G4" s="252"/>
      <c r="H4" s="252"/>
      <c r="I4" s="252"/>
      <c r="J4" s="252"/>
      <c r="K4" s="252"/>
      <c r="L4" s="252"/>
      <c r="M4" s="259"/>
      <c r="N4" s="259"/>
    </row>
    <row r="6" spans="1:14" ht="29" customHeight="1" x14ac:dyDescent="0.2">
      <c r="A6" s="271" t="s">
        <v>21</v>
      </c>
      <c r="B6" s="272" t="s">
        <v>127</v>
      </c>
      <c r="C6" s="273" t="s">
        <v>2</v>
      </c>
      <c r="D6" s="255" t="s">
        <v>768</v>
      </c>
      <c r="E6" s="255" t="s">
        <v>769</v>
      </c>
      <c r="F6" s="253" t="s">
        <v>9</v>
      </c>
      <c r="G6" s="253" t="s">
        <v>10</v>
      </c>
      <c r="H6" s="257"/>
      <c r="I6" s="257"/>
      <c r="J6" s="257"/>
      <c r="K6" s="257"/>
      <c r="L6" s="257"/>
      <c r="M6" s="257"/>
      <c r="N6" s="256"/>
    </row>
    <row r="7" spans="1:14" s="35" customFormat="1" ht="15" customHeight="1" x14ac:dyDescent="0.2">
      <c r="A7" s="270" t="s">
        <v>802</v>
      </c>
      <c r="B7" s="266" t="s">
        <v>804</v>
      </c>
      <c r="C7" s="275" t="s">
        <v>805</v>
      </c>
      <c r="D7" s="254" t="s">
        <v>91</v>
      </c>
      <c r="E7" s="254">
        <v>5</v>
      </c>
      <c r="F7" s="254" t="s">
        <v>566</v>
      </c>
      <c r="G7" s="260" t="s">
        <v>761</v>
      </c>
      <c r="H7" s="258"/>
      <c r="I7" s="258"/>
      <c r="J7" s="258"/>
      <c r="K7" s="258"/>
      <c r="L7" s="258"/>
      <c r="M7" s="258"/>
      <c r="N7" s="258"/>
    </row>
  </sheetData>
  <mergeCells count="1">
    <mergeCell ref="A4:F4"/>
  </mergeCells>
  <hyperlinks>
    <hyperlink ref="A1" location="index!A1" display="Back to Index" xr:uid="{29483D02-54F4-4042-854A-C5B1CF0C3B1B}"/>
  </hyperlink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tabColor theme="3" tint="0.39997558519241921"/>
  </sheetPr>
  <dimension ref="A1:Q9"/>
  <sheetViews>
    <sheetView workbookViewId="0">
      <selection activeCell="L7" sqref="L7"/>
    </sheetView>
  </sheetViews>
  <sheetFormatPr baseColWidth="10" defaultColWidth="8.83203125" defaultRowHeight="15" x14ac:dyDescent="0.2"/>
  <cols>
    <col min="1" max="1" width="6.5" customWidth="1"/>
    <col min="2" max="2" width="19.5" customWidth="1"/>
    <col min="3" max="3" width="10.1640625" customWidth="1"/>
    <col min="4" max="4" width="6.1640625" customWidth="1"/>
    <col min="5" max="6" width="8.6640625" customWidth="1"/>
    <col min="7" max="7" width="8.33203125" customWidth="1"/>
    <col min="8" max="8" width="18.6640625" customWidth="1"/>
    <col min="9" max="9" width="19.1640625" customWidth="1"/>
    <col min="10" max="11" width="22.5" customWidth="1"/>
    <col min="12" max="12" width="19.83203125" customWidth="1"/>
    <col min="13" max="13" width="14.5" customWidth="1"/>
    <col min="14" max="14" width="14.33203125" customWidth="1"/>
    <col min="15" max="15" width="10.5" customWidth="1"/>
    <col min="16" max="16" width="29.5" hidden="1" customWidth="1"/>
    <col min="17" max="17" width="12.1640625" customWidth="1"/>
  </cols>
  <sheetData>
    <row r="1" spans="1:17" x14ac:dyDescent="0.2">
      <c r="A1" s="6" t="s">
        <v>13</v>
      </c>
    </row>
    <row r="3" spans="1:17" ht="24" x14ac:dyDescent="0.3">
      <c r="A3" s="21" t="str">
        <f>Index!A1</f>
        <v>Online Boutique Requirements Specification</v>
      </c>
      <c r="B3" s="12"/>
      <c r="C3" s="12"/>
      <c r="D3" s="12"/>
      <c r="E3" s="12"/>
      <c r="F3" s="12"/>
      <c r="G3" s="12"/>
      <c r="H3" s="12"/>
      <c r="I3" s="12"/>
      <c r="J3" s="12"/>
      <c r="K3" s="12"/>
      <c r="L3" s="12"/>
      <c r="M3" s="12"/>
      <c r="N3" s="12"/>
      <c r="O3" s="12"/>
      <c r="P3" s="12"/>
      <c r="Q3" s="12"/>
    </row>
    <row r="4" spans="1:17" ht="24" x14ac:dyDescent="0.3">
      <c r="A4" s="317" t="s">
        <v>217</v>
      </c>
      <c r="B4" s="317"/>
      <c r="C4" s="317"/>
      <c r="D4" s="317"/>
      <c r="E4" s="317"/>
      <c r="F4" s="317"/>
      <c r="G4" s="317"/>
      <c r="H4" s="317"/>
      <c r="I4" s="317"/>
      <c r="J4" s="317"/>
      <c r="K4" s="317"/>
      <c r="L4" s="317"/>
      <c r="M4" s="317"/>
      <c r="N4" s="317"/>
      <c r="O4" s="19"/>
      <c r="P4" s="19"/>
      <c r="Q4" s="19"/>
    </row>
    <row r="5" spans="1:17" ht="17" x14ac:dyDescent="0.2">
      <c r="I5" s="42" t="s">
        <v>352</v>
      </c>
      <c r="J5" s="97" t="s">
        <v>786</v>
      </c>
      <c r="K5" s="56" t="s">
        <v>787</v>
      </c>
      <c r="L5" s="265"/>
      <c r="N5" s="265"/>
    </row>
    <row r="6" spans="1:17" ht="34" x14ac:dyDescent="0.2">
      <c r="A6" s="220" t="s">
        <v>21</v>
      </c>
      <c r="B6" s="221" t="s">
        <v>127</v>
      </c>
      <c r="C6" s="221" t="s">
        <v>22</v>
      </c>
      <c r="D6" s="164" t="s">
        <v>885</v>
      </c>
      <c r="E6" s="222" t="s">
        <v>423</v>
      </c>
      <c r="F6" s="222" t="s">
        <v>730</v>
      </c>
      <c r="G6" s="222" t="s">
        <v>731</v>
      </c>
      <c r="H6" s="221" t="s">
        <v>4</v>
      </c>
      <c r="I6" s="221" t="s">
        <v>218</v>
      </c>
      <c r="J6" s="189" t="s">
        <v>219</v>
      </c>
      <c r="K6" s="189" t="s">
        <v>220</v>
      </c>
      <c r="L6" s="269" t="s">
        <v>780</v>
      </c>
      <c r="M6" s="268" t="s">
        <v>777</v>
      </c>
      <c r="N6" s="189" t="s">
        <v>785</v>
      </c>
      <c r="O6" s="221" t="s">
        <v>770</v>
      </c>
      <c r="P6" s="221" t="s">
        <v>2</v>
      </c>
      <c r="Q6" s="223" t="s">
        <v>9</v>
      </c>
    </row>
    <row r="7" spans="1:17" ht="31" customHeight="1" x14ac:dyDescent="0.2">
      <c r="A7" s="249" t="s">
        <v>793</v>
      </c>
      <c r="B7" s="249" t="s">
        <v>803</v>
      </c>
      <c r="C7" s="249" t="s">
        <v>645</v>
      </c>
      <c r="D7" s="276" t="s">
        <v>766</v>
      </c>
      <c r="E7" s="249" t="s">
        <v>33</v>
      </c>
      <c r="F7" s="249" t="s">
        <v>33</v>
      </c>
      <c r="G7" s="249" t="s">
        <v>34</v>
      </c>
      <c r="H7" s="249" t="s">
        <v>779</v>
      </c>
      <c r="I7" s="249" t="s">
        <v>806</v>
      </c>
      <c r="J7" s="249" t="s">
        <v>807</v>
      </c>
      <c r="K7" s="276" t="s">
        <v>766</v>
      </c>
      <c r="L7" s="249" t="s">
        <v>850</v>
      </c>
      <c r="M7" s="249" t="s">
        <v>782</v>
      </c>
      <c r="N7" s="249" t="s">
        <v>804</v>
      </c>
      <c r="O7" s="249"/>
      <c r="P7" s="249"/>
      <c r="Q7" s="249"/>
    </row>
    <row r="8" spans="1:17" x14ac:dyDescent="0.2">
      <c r="A8" s="249" t="s">
        <v>794</v>
      </c>
      <c r="B8" s="249" t="s">
        <v>808</v>
      </c>
      <c r="C8" s="249" t="s">
        <v>221</v>
      </c>
      <c r="D8" s="281" t="s">
        <v>793</v>
      </c>
      <c r="E8" s="249" t="s">
        <v>33</v>
      </c>
      <c r="F8" s="249" t="s">
        <v>33</v>
      </c>
      <c r="G8" s="249" t="s">
        <v>34</v>
      </c>
      <c r="H8" s="249"/>
      <c r="I8" s="249" t="s">
        <v>806</v>
      </c>
      <c r="J8" s="249" t="s">
        <v>809</v>
      </c>
      <c r="K8" s="249"/>
      <c r="L8" s="249" t="s">
        <v>850</v>
      </c>
      <c r="M8" s="249" t="s">
        <v>782</v>
      </c>
      <c r="N8" s="249" t="s">
        <v>804</v>
      </c>
      <c r="O8" s="249"/>
      <c r="P8" s="249"/>
      <c r="Q8" s="249"/>
    </row>
    <row r="9" spans="1:17" ht="30" x14ac:dyDescent="0.2">
      <c r="A9" s="282" t="s">
        <v>795</v>
      </c>
      <c r="B9" s="282" t="s">
        <v>803</v>
      </c>
      <c r="C9" s="282" t="s">
        <v>221</v>
      </c>
      <c r="D9" s="283" t="s">
        <v>793</v>
      </c>
      <c r="E9" s="282" t="s">
        <v>33</v>
      </c>
      <c r="F9" s="282" t="s">
        <v>33</v>
      </c>
      <c r="G9" s="282" t="s">
        <v>34</v>
      </c>
      <c r="H9" s="282"/>
      <c r="I9" s="282" t="s">
        <v>806</v>
      </c>
      <c r="J9" s="282" t="s">
        <v>810</v>
      </c>
      <c r="K9" s="282"/>
      <c r="L9" s="282" t="s">
        <v>850</v>
      </c>
      <c r="M9" s="282" t="s">
        <v>782</v>
      </c>
      <c r="N9" s="282" t="s">
        <v>804</v>
      </c>
      <c r="O9" s="282"/>
      <c r="P9" s="282"/>
      <c r="Q9" s="282"/>
    </row>
  </sheetData>
  <mergeCells count="1">
    <mergeCell ref="A4:N4"/>
  </mergeCells>
  <phoneticPr fontId="23" type="noConversion"/>
  <dataValidations count="6">
    <dataValidation type="list" allowBlank="1" showInputMessage="1" showErrorMessage="1" sqref="H7:H9" xr:uid="{CE7A807C-4739-A146-A68F-318D31DABCD0}">
      <formula1>ID_Stakeholder</formula1>
    </dataValidation>
    <dataValidation type="list" allowBlank="1" showInputMessage="1" showErrorMessage="1" sqref="E7:G9" xr:uid="{9282B2EB-ABAD-A440-88C8-C8482E11759A}">
      <formula1>N_Boolean</formula1>
    </dataValidation>
    <dataValidation type="list" allowBlank="1" showInputMessage="1" showErrorMessage="1" sqref="C7:C9" xr:uid="{C750B9BC-0E69-7449-AB25-D05459404609}">
      <formula1>N_UserStoryType</formula1>
    </dataValidation>
    <dataValidation type="list" allowBlank="1" showInputMessage="1" showErrorMessage="1" sqref="N7:N9" xr:uid="{A31EFC50-9A1E-E04E-A742-B80434D8AF4D}">
      <formula1>Theme_Name</formula1>
    </dataValidation>
    <dataValidation type="list" allowBlank="1" showInputMessage="1" showErrorMessage="1" sqref="I7:I9" xr:uid="{394B56B6-D2A4-4C4E-A760-1F13FCC5D08A}">
      <formula1>ID_Actor</formula1>
    </dataValidation>
    <dataValidation type="list" allowBlank="1" showInputMessage="1" showErrorMessage="1" sqref="L1:L1048576" xr:uid="{012C1AD0-9778-964B-AA87-C74A09DB4B2A}">
      <formula1>Id_DataEntity_NoDuplicates</formula1>
    </dataValidation>
  </dataValidations>
  <hyperlinks>
    <hyperlink ref="A1" location="index!A1" display="Back to Index" xr:uid="{00000000-0004-0000-1400-000000000000}"/>
  </hyperlinks>
  <pageMargins left="0.7" right="0.7" top="0.75" bottom="0.75" header="0.3" footer="0.3"/>
  <pageSetup paperSize="9"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F01F0059-C823-C348-BFD5-0BB4E5C9CC40}">
          <x14:formula1>
            <xm:f>'.config'!$AP$7:$AP$11</xm:f>
          </x14:formula1>
          <xm:sqref>M7:M9</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5BE99-3151-D94A-B650-5DD023BEB6E6}">
  <sheetPr codeName="Sheet32">
    <tabColor theme="3" tint="0.39997558519241921"/>
  </sheetPr>
  <dimension ref="A1:P8"/>
  <sheetViews>
    <sheetView tabSelected="1" topLeftCell="F5" zoomScale="116" zoomScaleNormal="95" workbookViewId="0">
      <selection activeCell="K8" sqref="K8"/>
    </sheetView>
  </sheetViews>
  <sheetFormatPr baseColWidth="10" defaultColWidth="11.5" defaultRowHeight="15" x14ac:dyDescent="0.2"/>
  <cols>
    <col min="1" max="1" width="10.83203125" customWidth="1"/>
    <col min="2" max="2" width="8.83203125" customWidth="1"/>
    <col min="3" max="3" width="14.33203125" customWidth="1"/>
    <col min="4" max="4" width="15.6640625" customWidth="1"/>
    <col min="5" max="5" width="21.1640625" customWidth="1"/>
    <col min="6" max="7" width="20.33203125" customWidth="1"/>
    <col min="8" max="8" width="14.1640625" customWidth="1"/>
    <col min="9" max="9" width="18.33203125" customWidth="1"/>
    <col min="10" max="10" width="41.5" customWidth="1"/>
    <col min="11" max="11" width="70.6640625" customWidth="1"/>
    <col min="12" max="12" width="46" customWidth="1"/>
    <col min="13" max="13" width="16.83203125" customWidth="1"/>
  </cols>
  <sheetData>
    <row r="1" spans="1:16" x14ac:dyDescent="0.2">
      <c r="A1" s="6" t="s">
        <v>13</v>
      </c>
    </row>
    <row r="2" spans="1:16" ht="22" customHeight="1" x14ac:dyDescent="0.2">
      <c r="A2" s="351" t="str">
        <f>Index!A1</f>
        <v>Online Boutique Requirements Specification</v>
      </c>
      <c r="B2" s="351"/>
      <c r="C2" s="351"/>
      <c r="D2" s="351"/>
      <c r="E2" s="351"/>
      <c r="F2" s="351"/>
      <c r="G2" s="351"/>
      <c r="H2" s="351"/>
      <c r="I2" s="351"/>
      <c r="J2" s="351"/>
      <c r="K2" s="351"/>
      <c r="L2" s="351"/>
      <c r="M2" s="351"/>
    </row>
    <row r="3" spans="1:16" ht="24" x14ac:dyDescent="0.3">
      <c r="A3" s="251" t="s">
        <v>765</v>
      </c>
      <c r="B3" s="251"/>
      <c r="C3" s="251"/>
      <c r="D3" s="251"/>
      <c r="E3" s="251"/>
      <c r="F3" s="251"/>
      <c r="G3" s="251"/>
      <c r="H3" s="251"/>
      <c r="I3" s="251"/>
      <c r="J3" s="251"/>
      <c r="K3" s="251"/>
      <c r="L3" s="251"/>
      <c r="M3" s="251"/>
      <c r="N3" s="252"/>
      <c r="O3" s="252"/>
      <c r="P3" s="252"/>
    </row>
    <row r="4" spans="1:16" ht="24" x14ac:dyDescent="0.3">
      <c r="A4" s="251"/>
      <c r="B4" s="251"/>
      <c r="C4" s="251"/>
      <c r="D4" s="251"/>
      <c r="E4" s="251"/>
      <c r="F4" s="251"/>
      <c r="G4" s="251"/>
      <c r="H4" s="251"/>
      <c r="I4" s="251"/>
      <c r="J4" s="251"/>
      <c r="K4" s="251"/>
      <c r="L4" s="251"/>
      <c r="M4" s="251"/>
      <c r="N4" s="252"/>
      <c r="O4" s="252"/>
      <c r="P4" s="252"/>
    </row>
    <row r="5" spans="1:16" ht="24" x14ac:dyDescent="0.3">
      <c r="A5" s="251"/>
      <c r="B5" s="251"/>
      <c r="C5" s="251"/>
      <c r="D5" s="251"/>
      <c r="E5" s="251"/>
      <c r="F5" s="251"/>
      <c r="G5" s="251"/>
      <c r="H5" s="251"/>
      <c r="I5" s="251"/>
      <c r="J5" s="251"/>
      <c r="K5" s="251"/>
      <c r="L5" s="251"/>
      <c r="M5" s="251"/>
      <c r="N5" s="252"/>
      <c r="O5" s="252"/>
      <c r="P5" s="252"/>
    </row>
    <row r="6" spans="1:16" ht="24" x14ac:dyDescent="0.3">
      <c r="A6" s="252"/>
      <c r="B6" s="252"/>
      <c r="C6" s="252"/>
      <c r="D6" s="252"/>
      <c r="E6" s="252"/>
      <c r="F6" s="252"/>
      <c r="G6" s="252"/>
      <c r="H6" s="252"/>
      <c r="I6" s="252"/>
      <c r="J6" s="352" t="s">
        <v>773</v>
      </c>
      <c r="K6" s="353"/>
      <c r="L6" s="353"/>
      <c r="M6" s="252"/>
      <c r="N6" s="252"/>
      <c r="O6" s="252"/>
      <c r="P6" s="252"/>
    </row>
    <row r="7" spans="1:16" ht="25" customHeight="1" x14ac:dyDescent="0.2">
      <c r="A7" s="262" t="s">
        <v>21</v>
      </c>
      <c r="B7" s="263" t="s">
        <v>772</v>
      </c>
      <c r="C7" s="263" t="s">
        <v>788</v>
      </c>
      <c r="D7" s="263" t="s">
        <v>789</v>
      </c>
      <c r="E7" s="263" t="s">
        <v>798</v>
      </c>
      <c r="F7" s="263" t="s">
        <v>799</v>
      </c>
      <c r="G7" s="263" t="s">
        <v>872</v>
      </c>
      <c r="H7" s="263" t="s">
        <v>822</v>
      </c>
      <c r="I7" s="263" t="s">
        <v>75</v>
      </c>
      <c r="J7" s="263" t="s">
        <v>762</v>
      </c>
      <c r="K7" s="263" t="s">
        <v>763</v>
      </c>
      <c r="L7" s="263" t="s">
        <v>764</v>
      </c>
      <c r="M7" s="264" t="s">
        <v>774</v>
      </c>
    </row>
    <row r="8" spans="1:16" ht="409" customHeight="1" x14ac:dyDescent="0.2">
      <c r="A8" s="277" t="s">
        <v>796</v>
      </c>
      <c r="B8" s="278"/>
      <c r="C8" s="278" t="s">
        <v>795</v>
      </c>
      <c r="D8" s="278" t="str">
        <f>VLOOKUP($C8,'R.UserStories'!$A$6:$B$983,2,FALSE)</f>
        <v>Purchase Cart</v>
      </c>
      <c r="E8" s="278" t="s">
        <v>803</v>
      </c>
      <c r="F8" s="296" t="s">
        <v>850</v>
      </c>
      <c r="G8" s="278" t="s">
        <v>901</v>
      </c>
      <c r="H8" s="278" t="s">
        <v>884</v>
      </c>
      <c r="I8" s="278" t="s">
        <v>806</v>
      </c>
      <c r="J8" s="310" t="s">
        <v>903</v>
      </c>
      <c r="K8" s="297" t="s">
        <v>905</v>
      </c>
      <c r="L8" s="310" t="s">
        <v>904</v>
      </c>
      <c r="M8" s="279" t="s">
        <v>797</v>
      </c>
    </row>
  </sheetData>
  <mergeCells count="2">
    <mergeCell ref="A2:M2"/>
    <mergeCell ref="J6:L6"/>
  </mergeCells>
  <dataValidations count="3">
    <dataValidation type="list" allowBlank="1" showInputMessage="1" showErrorMessage="1" sqref="I8" xr:uid="{A37A9520-8E36-0043-A6C8-5F26ACB150A3}">
      <formula1>ID_Actor</formula1>
    </dataValidation>
    <dataValidation type="list" allowBlank="1" showInputMessage="1" showErrorMessage="1" sqref="C8" xr:uid="{D42FBCA7-DB9F-2544-A1C3-FF9B23B1C6D3}">
      <formula1>ID_UserStory</formula1>
    </dataValidation>
    <dataValidation type="list" allowBlank="1" showInputMessage="1" showErrorMessage="1" sqref="F1:H1048576" xr:uid="{B0E66952-4061-5545-8015-42C76C3FDD96}">
      <formula1>ID_DataEntityClusterValue_NoDuplicates</formula1>
    </dataValidation>
  </dataValidations>
  <hyperlinks>
    <hyperlink ref="A1" location="index!A1" display="Back to Index" xr:uid="{D2B944A9-0501-1346-B835-2918FA4E0C3E}"/>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Generate Tests">
              <controlPr defaultSize="0" print="0" autoFill="0" autoPict="0" macro="[0]!GenerateTestCasesWithRandomValues" altText="Generate Tests">
                <anchor moveWithCells="1" sizeWithCells="1">
                  <from>
                    <xdr:col>0</xdr:col>
                    <xdr:colOff>571500</xdr:colOff>
                    <xdr:row>3</xdr:row>
                    <xdr:rowOff>101600</xdr:rowOff>
                  </from>
                  <to>
                    <xdr:col>2</xdr:col>
                    <xdr:colOff>584200</xdr:colOff>
                    <xdr:row>4</xdr:row>
                    <xdr:rowOff>177800</xdr:rowOff>
                  </to>
                </anchor>
              </controlPr>
            </control>
          </mc:Choice>
        </mc:AlternateContent>
      </controls>
    </mc:Choice>
  </mc:AlternateContent>
  <tableParts count="1">
    <tablePart r:id="rId5"/>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tabColor theme="3" tint="0.39997558519241921"/>
  </sheetPr>
  <dimension ref="A1:N9"/>
  <sheetViews>
    <sheetView workbookViewId="0"/>
  </sheetViews>
  <sheetFormatPr baseColWidth="10" defaultColWidth="8.83203125" defaultRowHeight="15" x14ac:dyDescent="0.2"/>
  <cols>
    <col min="1" max="1" width="8.33203125" customWidth="1"/>
    <col min="2" max="2" width="18.1640625" customWidth="1"/>
    <col min="3" max="3" width="8.83203125" customWidth="1"/>
    <col min="4" max="4" width="33.5" customWidth="1"/>
    <col min="5" max="6" width="11.5" hidden="1" customWidth="1"/>
    <col min="7" max="7" width="0.1640625" hidden="1" customWidth="1"/>
    <col min="8" max="8" width="6" customWidth="1"/>
    <col min="9" max="9" width="22.5" customWidth="1"/>
    <col min="10" max="10" width="12.6640625" customWidth="1"/>
    <col min="11" max="11" width="13" customWidth="1"/>
    <col min="12" max="12" width="8.83203125" customWidth="1"/>
    <col min="13" max="13" width="33.33203125" customWidth="1"/>
    <col min="14" max="14" width="0.1640625" hidden="1" customWidth="1"/>
  </cols>
  <sheetData>
    <row r="1" spans="1:14" ht="24" x14ac:dyDescent="0.3">
      <c r="A1" s="6" t="s">
        <v>13</v>
      </c>
      <c r="B1" s="1"/>
      <c r="D1" s="1"/>
      <c r="E1" s="1"/>
      <c r="F1" s="1"/>
      <c r="G1" s="1"/>
      <c r="H1" s="1"/>
      <c r="I1" s="1"/>
      <c r="J1" s="1"/>
    </row>
    <row r="3" spans="1:14" ht="24" x14ac:dyDescent="0.3">
      <c r="A3" s="316" t="str">
        <f>Index!A1</f>
        <v>Online Boutique Requirements Specification</v>
      </c>
      <c r="B3" s="316"/>
      <c r="C3" s="316"/>
      <c r="D3" s="316"/>
      <c r="E3" s="316"/>
      <c r="F3" s="316"/>
      <c r="G3" s="316"/>
      <c r="H3" s="316"/>
      <c r="I3" s="316"/>
      <c r="J3" s="316"/>
      <c r="K3" s="316"/>
      <c r="L3" s="316"/>
      <c r="M3" s="316"/>
      <c r="N3" s="316"/>
    </row>
    <row r="4" spans="1:14" ht="24" x14ac:dyDescent="0.3">
      <c r="A4" s="317" t="s">
        <v>65</v>
      </c>
      <c r="B4" s="317"/>
      <c r="C4" s="317"/>
      <c r="D4" s="317"/>
      <c r="E4" s="317"/>
      <c r="F4" s="317"/>
      <c r="G4" s="317"/>
      <c r="H4" s="317"/>
      <c r="I4" s="317"/>
      <c r="J4" s="317"/>
      <c r="K4" s="317"/>
      <c r="L4" s="317"/>
      <c r="M4" s="317"/>
      <c r="N4" s="317"/>
    </row>
    <row r="5" spans="1:14" ht="34.5" customHeight="1" x14ac:dyDescent="0.2"/>
    <row r="6" spans="1:14" x14ac:dyDescent="0.2">
      <c r="A6" s="33" t="s">
        <v>579</v>
      </c>
    </row>
    <row r="7" spans="1:14" ht="29.25" customHeight="1" x14ac:dyDescent="0.2">
      <c r="H7" s="354" t="s">
        <v>393</v>
      </c>
      <c r="I7" s="354"/>
      <c r="J7" s="354"/>
    </row>
    <row r="8" spans="1:14" ht="36" customHeight="1" x14ac:dyDescent="0.2">
      <c r="A8" s="177" t="s">
        <v>21</v>
      </c>
      <c r="B8" s="176" t="s">
        <v>127</v>
      </c>
      <c r="C8" s="236" t="s">
        <v>22</v>
      </c>
      <c r="D8" s="236" t="s">
        <v>94</v>
      </c>
      <c r="E8" s="207" t="s">
        <v>423</v>
      </c>
      <c r="F8" s="207" t="s">
        <v>730</v>
      </c>
      <c r="G8" s="207" t="s">
        <v>731</v>
      </c>
      <c r="H8" s="238" t="s">
        <v>771</v>
      </c>
      <c r="I8" s="182" t="s">
        <v>16</v>
      </c>
      <c r="J8" s="238" t="s">
        <v>15</v>
      </c>
      <c r="K8" s="236" t="s">
        <v>4</v>
      </c>
      <c r="L8" s="236" t="s">
        <v>20</v>
      </c>
      <c r="M8" s="176" t="s">
        <v>2</v>
      </c>
      <c r="N8" s="190" t="s">
        <v>9</v>
      </c>
    </row>
    <row r="9" spans="1:14" ht="39" customHeight="1" x14ac:dyDescent="0.2">
      <c r="A9" s="249"/>
      <c r="B9" s="250"/>
      <c r="C9" s="250"/>
      <c r="D9" s="250"/>
      <c r="E9" s="250"/>
      <c r="F9" s="250"/>
      <c r="G9" s="250"/>
      <c r="H9" s="250"/>
      <c r="I9" s="250"/>
      <c r="J9" s="250"/>
      <c r="K9" s="250"/>
      <c r="L9" s="254"/>
      <c r="M9" s="250"/>
      <c r="N9" s="261"/>
    </row>
  </sheetData>
  <mergeCells count="3">
    <mergeCell ref="A3:N3"/>
    <mergeCell ref="A4:N4"/>
    <mergeCell ref="H7:J7"/>
  </mergeCells>
  <dataValidations count="9">
    <dataValidation type="list" allowBlank="1" showInputMessage="1" showErrorMessage="1" sqref="A6" xr:uid="{00000000-0002-0000-0F00-000004000000}">
      <formula1>ID_System</formula1>
    </dataValidation>
    <dataValidation type="list" allowBlank="1" showInputMessage="1" showErrorMessage="1" sqref="E9:G9" xr:uid="{00000000-0002-0000-0F00-000002000000}">
      <formula1>N_Boolean</formula1>
    </dataValidation>
    <dataValidation type="list" allowBlank="1" showInputMessage="1" showErrorMessage="1" sqref="K9" xr:uid="{00000000-0002-0000-0F00-000005000000}">
      <formula1>ID_Stakeholder</formula1>
    </dataValidation>
    <dataValidation type="list" allowBlank="1" showInputMessage="1" showErrorMessage="1" sqref="J8:J9" xr:uid="{00000000-0002-0000-0F00-000008000000}">
      <formula1>N_Metric</formula1>
    </dataValidation>
    <dataValidation type="list" allowBlank="1" showInputMessage="1" showErrorMessage="1" sqref="N9" xr:uid="{00000000-0002-0000-0F00-000000000000}">
      <formula1>N_PriorityType</formula1>
    </dataValidation>
    <dataValidation type="list" allowBlank="1" showInputMessage="1" showErrorMessage="1" sqref="C9" xr:uid="{00000000-0002-0000-0F00-000001000000}">
      <formula1>N_QRType</formula1>
    </dataValidation>
    <dataValidation type="list" allowBlank="1" showInputMessage="1" showErrorMessage="1" sqref="H9" xr:uid="{00000000-0002-0000-0F00-000003000000}">
      <formula1>N_RelationalOperator</formula1>
    </dataValidation>
    <dataValidation type="list" allowBlank="1" showInputMessage="1" showErrorMessage="1" sqref="L9" xr:uid="{00000000-0002-0000-0F00-000006000000}">
      <formula1>ID_QR</formula1>
    </dataValidation>
    <dataValidation type="list" allowBlank="1" showInputMessage="1" showErrorMessage="1" sqref="D8:D9" xr:uid="{00000000-0002-0000-0F00-000007000000}">
      <formula1>N_QRSubType</formula1>
    </dataValidation>
  </dataValidations>
  <hyperlinks>
    <hyperlink ref="A1" location="index!A1" display="Back to Index" xr:uid="{00000000-0004-0000-0F00-000000000000}"/>
  </hyperlinks>
  <pageMargins left="0.7" right="0.7" top="0.75" bottom="0.75" header="0.3" footer="0.3"/>
  <pageSetup paperSize="9"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tabColor theme="3" tint="0.39997558519241921"/>
  </sheetPr>
  <dimension ref="A1:K16"/>
  <sheetViews>
    <sheetView workbookViewId="0"/>
  </sheetViews>
  <sheetFormatPr baseColWidth="10" defaultColWidth="8.83203125" defaultRowHeight="15" x14ac:dyDescent="0.2"/>
  <cols>
    <col min="1" max="1" width="10" customWidth="1"/>
    <col min="2" max="2" width="26.33203125" customWidth="1"/>
    <col min="3" max="3" width="11.1640625" customWidth="1"/>
    <col min="4" max="4" width="17.1640625" customWidth="1"/>
    <col min="5" max="5" width="8.5" customWidth="1"/>
    <col min="6" max="6" width="7.6640625" customWidth="1"/>
    <col min="7" max="7" width="8.1640625" customWidth="1"/>
    <col min="8" max="8" width="24" customWidth="1"/>
    <col min="9" max="9" width="10.5" customWidth="1"/>
    <col min="10" max="10" width="78.6640625" customWidth="1"/>
    <col min="11" max="11" width="9.5" customWidth="1"/>
  </cols>
  <sheetData>
    <row r="1" spans="1:11" ht="24" x14ac:dyDescent="0.3">
      <c r="A1" s="6" t="s">
        <v>13</v>
      </c>
      <c r="B1" s="1"/>
    </row>
    <row r="3" spans="1:11" ht="24" x14ac:dyDescent="0.3">
      <c r="A3" s="20" t="str">
        <f>Index!A1</f>
        <v>Online Boutique Requirements Specification</v>
      </c>
      <c r="B3" s="7"/>
      <c r="C3" s="7"/>
      <c r="D3" s="7"/>
      <c r="E3" s="7"/>
      <c r="F3" s="7"/>
      <c r="G3" s="7"/>
      <c r="H3" s="7"/>
      <c r="I3" s="7"/>
      <c r="J3" s="7"/>
      <c r="K3" s="7"/>
    </row>
    <row r="4" spans="1:11" ht="24" x14ac:dyDescent="0.3">
      <c r="A4" s="317" t="s">
        <v>66</v>
      </c>
      <c r="B4" s="317"/>
      <c r="C4" s="317"/>
      <c r="D4" s="317"/>
      <c r="E4" s="317"/>
      <c r="F4" s="317"/>
      <c r="G4" s="317"/>
      <c r="H4" s="317"/>
      <c r="I4" s="317"/>
      <c r="J4" s="317"/>
      <c r="K4" s="317"/>
    </row>
    <row r="5" spans="1:11" ht="34.5" customHeight="1" x14ac:dyDescent="0.2"/>
    <row r="6" spans="1:11" x14ac:dyDescent="0.2">
      <c r="A6" s="33" t="s">
        <v>579</v>
      </c>
    </row>
    <row r="7" spans="1:11" ht="30.75" customHeight="1" x14ac:dyDescent="0.2">
      <c r="A7" s="177" t="s">
        <v>21</v>
      </c>
      <c r="B7" s="176" t="s">
        <v>127</v>
      </c>
      <c r="C7" s="236" t="s">
        <v>22</v>
      </c>
      <c r="D7" s="236" t="s">
        <v>156</v>
      </c>
      <c r="E7" s="207" t="s">
        <v>423</v>
      </c>
      <c r="F7" s="207" t="s">
        <v>730</v>
      </c>
      <c r="G7" s="207" t="s">
        <v>731</v>
      </c>
      <c r="H7" s="236" t="s">
        <v>4</v>
      </c>
      <c r="I7" s="236" t="s">
        <v>20</v>
      </c>
      <c r="J7" s="176" t="s">
        <v>2</v>
      </c>
      <c r="K7" s="190" t="s">
        <v>9</v>
      </c>
    </row>
    <row r="8" spans="1:11" ht="21" customHeight="1" x14ac:dyDescent="0.2">
      <c r="A8" s="183" t="s">
        <v>282</v>
      </c>
      <c r="B8" s="108" t="s">
        <v>1</v>
      </c>
      <c r="C8" s="15" t="s">
        <v>100</v>
      </c>
      <c r="D8" s="15" t="s">
        <v>284</v>
      </c>
      <c r="E8" s="15"/>
      <c r="F8" s="15"/>
      <c r="G8" s="15"/>
      <c r="H8" s="108" t="s">
        <v>249</v>
      </c>
      <c r="I8" s="15" t="s">
        <v>283</v>
      </c>
      <c r="J8" s="108" t="s">
        <v>2</v>
      </c>
      <c r="K8" s="184" t="s">
        <v>566</v>
      </c>
    </row>
    <row r="9" spans="1:11" ht="21" customHeight="1" x14ac:dyDescent="0.2">
      <c r="A9" s="183"/>
      <c r="B9" s="108"/>
      <c r="C9" s="15"/>
      <c r="D9" s="15"/>
      <c r="E9" s="15"/>
      <c r="F9" s="15"/>
      <c r="G9" s="15"/>
      <c r="H9" s="108"/>
      <c r="I9" s="15"/>
      <c r="J9" s="108"/>
      <c r="K9" s="184"/>
    </row>
    <row r="10" spans="1:11" ht="21" customHeight="1" x14ac:dyDescent="0.2">
      <c r="A10" s="183"/>
      <c r="B10" s="108"/>
      <c r="C10" s="15"/>
      <c r="D10" s="15"/>
      <c r="E10" s="15"/>
      <c r="F10" s="15"/>
      <c r="G10" s="15"/>
      <c r="H10" s="108"/>
      <c r="I10" s="15"/>
      <c r="J10" s="108"/>
      <c r="K10" s="184"/>
    </row>
    <row r="11" spans="1:11" ht="21" customHeight="1" x14ac:dyDescent="0.2">
      <c r="A11" s="183"/>
      <c r="B11" s="108"/>
      <c r="C11" s="15"/>
      <c r="D11" s="15"/>
      <c r="E11" s="15"/>
      <c r="F11" s="15"/>
      <c r="G11" s="15"/>
      <c r="H11" s="108"/>
      <c r="I11" s="15"/>
      <c r="J11" s="108"/>
      <c r="K11" s="184"/>
    </row>
    <row r="12" spans="1:11" ht="21" customHeight="1" x14ac:dyDescent="0.2">
      <c r="A12" s="183"/>
      <c r="B12" s="108"/>
      <c r="C12" s="15"/>
      <c r="D12" s="15"/>
      <c r="E12" s="15"/>
      <c r="F12" s="15"/>
      <c r="G12" s="15"/>
      <c r="H12" s="108"/>
      <c r="I12" s="15"/>
      <c r="J12" s="108"/>
      <c r="K12" s="184"/>
    </row>
    <row r="13" spans="1:11" ht="21" customHeight="1" x14ac:dyDescent="0.2">
      <c r="A13" s="183"/>
      <c r="B13" s="108"/>
      <c r="C13" s="15"/>
      <c r="D13" s="15"/>
      <c r="E13" s="15"/>
      <c r="F13" s="15"/>
      <c r="G13" s="15"/>
      <c r="H13" s="108"/>
      <c r="I13" s="15"/>
      <c r="J13" s="108"/>
      <c r="K13" s="184"/>
    </row>
    <row r="14" spans="1:11" ht="21" customHeight="1" x14ac:dyDescent="0.2">
      <c r="A14" s="183"/>
      <c r="B14" s="108"/>
      <c r="C14" s="15"/>
      <c r="D14" s="15"/>
      <c r="E14" s="15"/>
      <c r="F14" s="15"/>
      <c r="G14" s="15"/>
      <c r="H14" s="108"/>
      <c r="I14" s="15"/>
      <c r="J14" s="108"/>
      <c r="K14" s="184"/>
    </row>
    <row r="15" spans="1:11" ht="21" customHeight="1" x14ac:dyDescent="0.2">
      <c r="A15" s="183"/>
      <c r="B15" s="108"/>
      <c r="C15" s="15"/>
      <c r="D15" s="15"/>
      <c r="E15" s="15"/>
      <c r="F15" s="15"/>
      <c r="G15" s="15"/>
      <c r="H15" s="108"/>
      <c r="I15" s="15"/>
      <c r="J15" s="108"/>
      <c r="K15" s="184"/>
    </row>
    <row r="16" spans="1:11" ht="21" customHeight="1" x14ac:dyDescent="0.2">
      <c r="A16" s="185"/>
      <c r="B16" s="186"/>
      <c r="C16" s="187"/>
      <c r="D16" s="187"/>
      <c r="E16" s="187"/>
      <c r="F16" s="187"/>
      <c r="G16" s="187"/>
      <c r="H16" s="186"/>
      <c r="I16" s="187"/>
      <c r="J16" s="186"/>
      <c r="K16" s="188"/>
    </row>
  </sheetData>
  <mergeCells count="1">
    <mergeCell ref="A4:K4"/>
  </mergeCells>
  <dataValidations count="7">
    <dataValidation type="list" allowBlank="1" showInputMessage="1" showErrorMessage="1" sqref="K8:K16" xr:uid="{00000000-0002-0000-1000-000000000000}">
      <formula1>N_PriorityType</formula1>
    </dataValidation>
    <dataValidation type="list" allowBlank="1" showInputMessage="1" showErrorMessage="1" sqref="C8:C16" xr:uid="{00000000-0002-0000-1000-000001000000}">
      <formula1>N_ConstraintType</formula1>
    </dataValidation>
    <dataValidation type="list" allowBlank="1" showInputMessage="1" showErrorMessage="1" sqref="D8:D16" xr:uid="{00000000-0002-0000-1000-000002000000}">
      <formula1>N_ConstraintSubType</formula1>
    </dataValidation>
    <dataValidation type="list" allowBlank="1" showInputMessage="1" showErrorMessage="1" sqref="A6" xr:uid="{00000000-0002-0000-1000-000003000000}">
      <formula1>ID_System</formula1>
    </dataValidation>
    <dataValidation type="list" allowBlank="1" showInputMessage="1" showErrorMessage="1" sqref="H8:H16" xr:uid="{00000000-0002-0000-1000-000004000000}">
      <formula1>ID_Stakeholder</formula1>
    </dataValidation>
    <dataValidation type="list" allowBlank="1" showInputMessage="1" showErrorMessage="1" sqref="I8:I16" xr:uid="{00000000-0002-0000-1000-000005000000}">
      <formula1>ID_Constraint</formula1>
    </dataValidation>
    <dataValidation type="list" allowBlank="1" showInputMessage="1" showErrorMessage="1" sqref="E8:G16" xr:uid="{00000000-0002-0000-1000-000006000000}">
      <formula1>N_Boolean</formula1>
    </dataValidation>
  </dataValidations>
  <hyperlinks>
    <hyperlink ref="A1" location="index!A1" display="Back to Index" xr:uid="{00000000-0004-0000-1000-000000000000}"/>
  </hyperlinks>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tabColor theme="3" tint="0.39997558519241921"/>
  </sheetPr>
  <dimension ref="A1:M13"/>
  <sheetViews>
    <sheetView workbookViewId="0"/>
  </sheetViews>
  <sheetFormatPr baseColWidth="10" defaultColWidth="8.83203125" defaultRowHeight="15" x14ac:dyDescent="0.2"/>
  <cols>
    <col min="1" max="1" width="12" customWidth="1"/>
    <col min="2" max="2" width="29.5" customWidth="1"/>
    <col min="3" max="3" width="13.1640625" customWidth="1"/>
    <col min="4" max="4" width="10.5" customWidth="1"/>
    <col min="5" max="5" width="11.6640625" customWidth="1"/>
    <col min="6" max="6" width="11.5" customWidth="1"/>
    <col min="7" max="7" width="18.5" customWidth="1"/>
    <col min="8" max="8" width="16.5" customWidth="1"/>
    <col min="9" max="9" width="14" customWidth="1"/>
    <col min="10" max="10" width="17.1640625" customWidth="1"/>
    <col min="11" max="11" width="21.1640625" customWidth="1"/>
    <col min="12" max="12" width="52.5" customWidth="1"/>
    <col min="13" max="13" width="11.5" customWidth="1"/>
  </cols>
  <sheetData>
    <row r="1" spans="1:13" x14ac:dyDescent="0.2">
      <c r="A1" s="6" t="s">
        <v>13</v>
      </c>
    </row>
    <row r="2" spans="1:13" ht="8.25" customHeight="1" x14ac:dyDescent="0.2"/>
    <row r="3" spans="1:13" ht="24" x14ac:dyDescent="0.3">
      <c r="A3" s="21" t="str">
        <f>Index!A1</f>
        <v>Online Boutique Requirements Specification</v>
      </c>
      <c r="B3" s="12"/>
      <c r="C3" s="12"/>
      <c r="D3" s="12"/>
      <c r="E3" s="12"/>
      <c r="F3" s="12"/>
      <c r="G3" s="12"/>
      <c r="H3" s="12"/>
      <c r="I3" s="12"/>
      <c r="J3" s="12"/>
      <c r="K3" s="12"/>
      <c r="L3" s="12"/>
      <c r="M3" s="12"/>
    </row>
    <row r="4" spans="1:13" ht="24" x14ac:dyDescent="0.3">
      <c r="A4" s="317" t="s">
        <v>62</v>
      </c>
      <c r="B4" s="317"/>
      <c r="C4" s="317"/>
      <c r="D4" s="317"/>
      <c r="E4" s="317"/>
      <c r="F4" s="317"/>
      <c r="G4" s="317"/>
      <c r="H4" s="317"/>
      <c r="I4" s="317"/>
      <c r="J4" s="317"/>
      <c r="K4" s="317"/>
      <c r="L4" s="19"/>
      <c r="M4" s="19"/>
    </row>
    <row r="5" spans="1:13" ht="34.5" customHeight="1" x14ac:dyDescent="0.2"/>
    <row r="6" spans="1:13" ht="15.75" customHeight="1" x14ac:dyDescent="0.2">
      <c r="A6" s="33" t="s">
        <v>579</v>
      </c>
    </row>
    <row r="7" spans="1:13" ht="15.75" customHeight="1" x14ac:dyDescent="0.2">
      <c r="I7" s="355" t="s">
        <v>12</v>
      </c>
      <c r="J7" s="356"/>
    </row>
    <row r="8" spans="1:13" ht="39.75" customHeight="1" x14ac:dyDescent="0.2">
      <c r="A8" s="208" t="s">
        <v>21</v>
      </c>
      <c r="B8" s="209" t="s">
        <v>127</v>
      </c>
      <c r="C8" s="204" t="s">
        <v>22</v>
      </c>
      <c r="D8" s="210" t="s">
        <v>423</v>
      </c>
      <c r="E8" s="210" t="s">
        <v>730</v>
      </c>
      <c r="F8" s="210" t="s">
        <v>731</v>
      </c>
      <c r="G8" s="205" t="s">
        <v>4</v>
      </c>
      <c r="H8" s="205" t="s">
        <v>734</v>
      </c>
      <c r="I8" s="206" t="s">
        <v>158</v>
      </c>
      <c r="J8" s="206" t="s">
        <v>29</v>
      </c>
      <c r="K8" s="204" t="s">
        <v>109</v>
      </c>
      <c r="L8" s="209" t="s">
        <v>2</v>
      </c>
      <c r="M8" s="202" t="s">
        <v>9</v>
      </c>
    </row>
    <row r="9" spans="1:13" ht="29.25" customHeight="1" x14ac:dyDescent="0.2">
      <c r="A9" s="213" t="s">
        <v>262</v>
      </c>
      <c r="B9" s="214"/>
      <c r="C9" s="214" t="s">
        <v>129</v>
      </c>
      <c r="D9" s="214" t="s">
        <v>33</v>
      </c>
      <c r="E9" s="214" t="s">
        <v>33</v>
      </c>
      <c r="F9" s="214" t="s">
        <v>33</v>
      </c>
      <c r="G9" s="214" t="s">
        <v>249</v>
      </c>
      <c r="H9" s="214" t="s">
        <v>488</v>
      </c>
      <c r="I9" s="187" t="s">
        <v>581</v>
      </c>
      <c r="J9" s="187" t="s">
        <v>582</v>
      </c>
      <c r="K9" s="214" t="s">
        <v>736</v>
      </c>
      <c r="L9" s="214" t="s">
        <v>324</v>
      </c>
      <c r="M9" s="215" t="s">
        <v>567</v>
      </c>
    </row>
    <row r="10" spans="1:13" x14ac:dyDescent="0.2">
      <c r="A10" s="213"/>
      <c r="B10" s="214"/>
      <c r="C10" s="214"/>
      <c r="D10" s="214"/>
      <c r="E10" s="214"/>
      <c r="F10" s="214"/>
      <c r="G10" s="214"/>
      <c r="H10" s="214"/>
      <c r="I10" s="187"/>
      <c r="J10" s="187"/>
      <c r="K10" s="214"/>
      <c r="L10" s="214"/>
      <c r="M10" s="215"/>
    </row>
    <row r="11" spans="1:13" x14ac:dyDescent="0.2">
      <c r="A11" s="216"/>
      <c r="B11" s="217"/>
      <c r="C11" s="217"/>
      <c r="D11" s="217"/>
      <c r="E11" s="217"/>
      <c r="F11" s="217"/>
      <c r="G11" s="217"/>
      <c r="H11" s="217"/>
      <c r="I11" s="218"/>
      <c r="J11" s="218"/>
      <c r="K11" s="217"/>
      <c r="L11" s="217"/>
      <c r="M11" s="219"/>
    </row>
    <row r="12" spans="1:13" x14ac:dyDescent="0.2">
      <c r="A12" s="216"/>
      <c r="B12" s="217"/>
      <c r="C12" s="217"/>
      <c r="D12" s="217"/>
      <c r="E12" s="217"/>
      <c r="F12" s="217"/>
      <c r="G12" s="217"/>
      <c r="H12" s="217"/>
      <c r="I12" s="218"/>
      <c r="J12" s="218"/>
      <c r="K12" s="217"/>
      <c r="L12" s="217"/>
      <c r="M12" s="219"/>
    </row>
    <row r="13" spans="1:13" x14ac:dyDescent="0.2">
      <c r="A13" s="216"/>
      <c r="B13" s="217"/>
      <c r="C13" s="217"/>
      <c r="D13" s="217"/>
      <c r="E13" s="217"/>
      <c r="F13" s="217"/>
      <c r="G13" s="217"/>
      <c r="H13" s="217"/>
      <c r="I13" s="218"/>
      <c r="J13" s="218"/>
      <c r="K13" s="217"/>
      <c r="L13" s="217"/>
      <c r="M13" s="219"/>
    </row>
  </sheetData>
  <dataConsolidate/>
  <mergeCells count="2">
    <mergeCell ref="A4:K4"/>
    <mergeCell ref="I7:J7"/>
  </mergeCells>
  <dataValidations count="8">
    <dataValidation type="list" allowBlank="1" showInputMessage="1" showErrorMessage="1" sqref="C9:C13" xr:uid="{00000000-0002-0000-1100-000000000000}">
      <formula1>N_UseCaseType</formula1>
    </dataValidation>
    <dataValidation type="list" allowBlank="1" showInputMessage="1" showErrorMessage="1" sqref="M9:M13" xr:uid="{00000000-0002-0000-1100-000001000000}">
      <formula1>N_PriorityType</formula1>
    </dataValidation>
    <dataValidation type="list" allowBlank="1" showInputMessage="1" showErrorMessage="1" sqref="A6" xr:uid="{00000000-0002-0000-1100-000002000000}">
      <formula1>ID_System</formula1>
    </dataValidation>
    <dataValidation type="list" allowBlank="1" showInputMessage="1" showErrorMessage="1" sqref="G9:G13" xr:uid="{00000000-0002-0000-1100-000003000000}">
      <formula1>ID_Stakeholder</formula1>
    </dataValidation>
    <dataValidation type="list" allowBlank="1" showInputMessage="1" showErrorMessage="1" sqref="I9:J13" xr:uid="{00000000-0002-0000-1100-000004000000}">
      <formula1>ID_Actor</formula1>
    </dataValidation>
    <dataValidation type="list" allowBlank="1" showInputMessage="1" showErrorMessage="1" sqref="D9:F13" xr:uid="{00000000-0002-0000-1100-000005000000}">
      <formula1>N_Boolean</formula1>
    </dataValidation>
    <dataValidation type="list" allowBlank="1" showInputMessage="1" showErrorMessage="1" sqref="K9:K13" xr:uid="{00000000-0002-0000-1100-000006000000}">
      <formula1>N_UCActionType</formula1>
    </dataValidation>
    <dataValidation type="list" allowBlank="1" showInputMessage="1" showErrorMessage="1" sqref="H9:H13" xr:uid="{00000000-0002-0000-1100-000007000000}">
      <formula1>ID_DataEntityCluster</formula1>
    </dataValidation>
  </dataValidations>
  <hyperlinks>
    <hyperlink ref="A1" location="index!A1" display="Back to Index" xr:uid="{00000000-0004-0000-1100-000000000000}"/>
  </hyperlinks>
  <pageMargins left="0.7" right="0.7" top="0.75" bottom="0.75" header="0.3" footer="0.3"/>
  <pageSetup paperSize="9"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olha2">
    <tabColor theme="3" tint="0.79998168889431442"/>
  </sheetPr>
  <dimension ref="A1:S9"/>
  <sheetViews>
    <sheetView workbookViewId="0"/>
  </sheetViews>
  <sheetFormatPr baseColWidth="10" defaultColWidth="9.1640625" defaultRowHeight="15" x14ac:dyDescent="0.2"/>
  <cols>
    <col min="1" max="1" width="12.83203125" customWidth="1"/>
    <col min="2" max="2" width="29.5" customWidth="1"/>
    <col min="3" max="3" width="16.6640625" customWidth="1"/>
    <col min="4" max="4" width="11.33203125" customWidth="1"/>
    <col min="5" max="5" width="10.83203125" customWidth="1"/>
    <col min="6" max="6" width="10.5" customWidth="1"/>
    <col min="7" max="7" width="20.1640625" customWidth="1"/>
    <col min="8" max="8" width="18.1640625" customWidth="1"/>
    <col min="9" max="9" width="18" customWidth="1"/>
    <col min="10" max="10" width="18.5" customWidth="1"/>
    <col min="11" max="11" width="21.1640625" customWidth="1"/>
    <col min="12" max="13" width="30.1640625" customWidth="1"/>
    <col min="14" max="14" width="18.33203125" customWidth="1"/>
    <col min="15" max="15" width="15.33203125" customWidth="1"/>
    <col min="16" max="16" width="17.33203125" customWidth="1"/>
    <col min="17" max="17" width="26.6640625" customWidth="1"/>
    <col min="18" max="18" width="29.5" customWidth="1"/>
    <col min="19" max="19" width="10.33203125" customWidth="1"/>
  </cols>
  <sheetData>
    <row r="1" spans="1:19" x14ac:dyDescent="0.2">
      <c r="A1" s="6" t="s">
        <v>13</v>
      </c>
    </row>
    <row r="2" spans="1:19" ht="8.25" customHeight="1" x14ac:dyDescent="0.2"/>
    <row r="3" spans="1:19" ht="24" x14ac:dyDescent="0.3">
      <c r="A3" s="21" t="str">
        <f>Index!A1</f>
        <v>Online Boutique Requirements Specification</v>
      </c>
      <c r="B3" s="12"/>
      <c r="C3" s="12"/>
      <c r="D3" s="12"/>
      <c r="E3" s="12"/>
      <c r="F3" s="12"/>
      <c r="G3" s="12"/>
      <c r="H3" s="12"/>
      <c r="I3" s="12"/>
      <c r="J3" s="12"/>
      <c r="K3" s="12"/>
      <c r="L3" s="12"/>
      <c r="M3" s="12"/>
      <c r="N3" s="12"/>
      <c r="O3" s="12"/>
      <c r="P3" s="12"/>
      <c r="Q3" s="12"/>
      <c r="R3" s="12"/>
      <c r="S3" s="12"/>
    </row>
    <row r="4" spans="1:19" ht="24" x14ac:dyDescent="0.3">
      <c r="A4" s="317" t="s">
        <v>733</v>
      </c>
      <c r="B4" s="317"/>
      <c r="C4" s="317"/>
      <c r="D4" s="317"/>
      <c r="E4" s="317"/>
      <c r="F4" s="317"/>
      <c r="G4" s="317"/>
      <c r="H4" s="317"/>
      <c r="I4" s="317"/>
      <c r="J4" s="317"/>
      <c r="K4" s="317"/>
      <c r="L4" s="317"/>
      <c r="M4" s="317"/>
      <c r="N4" s="317"/>
      <c r="O4" s="317"/>
      <c r="P4" s="317"/>
      <c r="Q4" s="317"/>
      <c r="R4" s="19"/>
      <c r="S4" s="19"/>
    </row>
    <row r="5" spans="1:19" ht="34.5" customHeight="1" x14ac:dyDescent="0.2"/>
    <row r="6" spans="1:19" ht="15.75" customHeight="1" x14ac:dyDescent="0.2">
      <c r="A6" s="33" t="s">
        <v>579</v>
      </c>
    </row>
    <row r="7" spans="1:19" ht="25.5" customHeight="1" x14ac:dyDescent="0.2">
      <c r="A7" s="133" t="s">
        <v>21</v>
      </c>
      <c r="B7" s="133" t="s">
        <v>127</v>
      </c>
      <c r="C7" s="133" t="s">
        <v>22</v>
      </c>
      <c r="D7" s="361" t="s">
        <v>423</v>
      </c>
      <c r="E7" s="361" t="s">
        <v>730</v>
      </c>
      <c r="F7" s="361" t="s">
        <v>731</v>
      </c>
      <c r="G7" s="363" t="s">
        <v>4</v>
      </c>
      <c r="H7" s="365" t="s">
        <v>312</v>
      </c>
      <c r="I7" s="135" t="s">
        <v>12</v>
      </c>
      <c r="J7" s="136"/>
      <c r="K7" s="365" t="s">
        <v>109</v>
      </c>
      <c r="L7" s="367" t="s">
        <v>30</v>
      </c>
      <c r="M7" s="368"/>
      <c r="N7" s="365" t="s">
        <v>31</v>
      </c>
      <c r="O7" s="369" t="s">
        <v>108</v>
      </c>
      <c r="P7" s="369"/>
      <c r="Q7" s="357" t="s">
        <v>124</v>
      </c>
      <c r="R7" s="133" t="s">
        <v>2</v>
      </c>
      <c r="S7" s="359" t="s">
        <v>9</v>
      </c>
    </row>
    <row r="8" spans="1:19" ht="23.25" customHeight="1" x14ac:dyDescent="0.2">
      <c r="A8" s="134"/>
      <c r="B8" s="134"/>
      <c r="C8" s="134"/>
      <c r="D8" s="362"/>
      <c r="E8" s="362"/>
      <c r="F8" s="362"/>
      <c r="G8" s="364"/>
      <c r="H8" s="366"/>
      <c r="I8" s="123" t="s">
        <v>158</v>
      </c>
      <c r="J8" s="123" t="s">
        <v>29</v>
      </c>
      <c r="K8" s="366"/>
      <c r="L8" s="123" t="s">
        <v>122</v>
      </c>
      <c r="M8" s="123" t="s">
        <v>123</v>
      </c>
      <c r="N8" s="366"/>
      <c r="O8" s="123" t="s">
        <v>126</v>
      </c>
      <c r="P8" s="123" t="s">
        <v>125</v>
      </c>
      <c r="Q8" s="358"/>
      <c r="R8" s="134"/>
      <c r="S8" s="360"/>
    </row>
    <row r="9" spans="1:19" ht="29.25" customHeight="1" x14ac:dyDescent="0.2">
      <c r="A9" s="117" t="s">
        <v>262</v>
      </c>
      <c r="B9" s="117" t="s">
        <v>1</v>
      </c>
      <c r="C9" s="117" t="s">
        <v>129</v>
      </c>
      <c r="D9" s="117" t="s">
        <v>33</v>
      </c>
      <c r="E9" s="117" t="s">
        <v>33</v>
      </c>
      <c r="F9" s="117" t="s">
        <v>33</v>
      </c>
      <c r="G9" s="121" t="s">
        <v>249</v>
      </c>
      <c r="H9" s="117" t="s">
        <v>241</v>
      </c>
      <c r="I9" s="54" t="s">
        <v>581</v>
      </c>
      <c r="J9" s="54"/>
      <c r="K9" s="117" t="s">
        <v>355</v>
      </c>
      <c r="L9" s="117" t="s">
        <v>319</v>
      </c>
      <c r="M9" s="117" t="s">
        <v>320</v>
      </c>
      <c r="N9" s="117" t="s">
        <v>321</v>
      </c>
      <c r="O9" s="117" t="s">
        <v>262</v>
      </c>
      <c r="P9" s="117" t="s">
        <v>322</v>
      </c>
      <c r="Q9" s="117" t="s">
        <v>323</v>
      </c>
      <c r="R9" s="117" t="s">
        <v>324</v>
      </c>
      <c r="S9" s="117" t="s">
        <v>567</v>
      </c>
    </row>
  </sheetData>
  <dataConsolidate/>
  <mergeCells count="12">
    <mergeCell ref="Q7:Q8"/>
    <mergeCell ref="S7:S8"/>
    <mergeCell ref="A4:Q4"/>
    <mergeCell ref="D7:D8"/>
    <mergeCell ref="E7:E8"/>
    <mergeCell ref="F7:F8"/>
    <mergeCell ref="G7:G8"/>
    <mergeCell ref="H7:H8"/>
    <mergeCell ref="K7:K8"/>
    <mergeCell ref="L7:M7"/>
    <mergeCell ref="N7:N8"/>
    <mergeCell ref="O7:P7"/>
  </mergeCells>
  <dataValidations count="7">
    <dataValidation type="list" allowBlank="1" showInputMessage="1" showErrorMessage="1" sqref="D9:F9" xr:uid="{00000000-0002-0000-1200-000000000000}">
      <formula1>N_Boolean</formula1>
    </dataValidation>
    <dataValidation type="list" allowBlank="1" showInputMessage="1" showErrorMessage="1" sqref="N9:O9" xr:uid="{00000000-0002-0000-1200-000001000000}">
      <formula1>ID_UseCase_Complete</formula1>
    </dataValidation>
    <dataValidation type="list" allowBlank="1" showInputMessage="1" showErrorMessage="1" sqref="I9:J9" xr:uid="{00000000-0002-0000-1200-000002000000}">
      <formula1>ID_Actor</formula1>
    </dataValidation>
    <dataValidation type="list" allowBlank="1" showInputMessage="1" showErrorMessage="1" sqref="G9" xr:uid="{00000000-0002-0000-1200-000003000000}">
      <formula1>ID_Stakeholder</formula1>
    </dataValidation>
    <dataValidation type="list" allowBlank="1" showInputMessage="1" showErrorMessage="1" sqref="A6" xr:uid="{00000000-0002-0000-1200-000004000000}">
      <formula1>ID_System</formula1>
    </dataValidation>
    <dataValidation type="list" allowBlank="1" showInputMessage="1" showErrorMessage="1" sqref="S9" xr:uid="{00000000-0002-0000-1200-000005000000}">
      <formula1>N_PriorityType</formula1>
    </dataValidation>
    <dataValidation type="list" allowBlank="1" showInputMessage="1" showErrorMessage="1" sqref="C9" xr:uid="{00000000-0002-0000-1200-000006000000}">
      <formula1>N_UseCaseType</formula1>
    </dataValidation>
  </dataValidations>
  <hyperlinks>
    <hyperlink ref="B9" location="USE_CASE__Manage_Invoice" display="Manage Invoice " xr:uid="{00000000-0004-0000-1200-000000000000}"/>
    <hyperlink ref="A1" location="index!A1" display="Back to Index" xr:uid="{00000000-0004-0000-1200-000001000000}"/>
  </hyperlink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tabColor theme="3" tint="0.79998168889431442"/>
  </sheetPr>
  <dimension ref="A1:K31"/>
  <sheetViews>
    <sheetView workbookViewId="0"/>
  </sheetViews>
  <sheetFormatPr baseColWidth="10" defaultColWidth="8.83203125" defaultRowHeight="15" x14ac:dyDescent="0.2"/>
  <cols>
    <col min="1" max="1" width="12.83203125" customWidth="1"/>
    <col min="2" max="2" width="18.6640625" customWidth="1"/>
    <col min="3" max="3" width="18.33203125" customWidth="1"/>
    <col min="4" max="5" width="11.6640625" customWidth="1"/>
    <col min="6" max="6" width="8.5" customWidth="1"/>
    <col min="7" max="7" width="18.1640625" customWidth="1"/>
    <col min="8" max="8" width="59.83203125" customWidth="1"/>
    <col min="9" max="9" width="20.5" customWidth="1"/>
    <col min="10" max="10" width="24.33203125" customWidth="1"/>
    <col min="11" max="11" width="11.5" customWidth="1"/>
    <col min="13" max="13" width="22.5" customWidth="1"/>
  </cols>
  <sheetData>
    <row r="1" spans="1:11" x14ac:dyDescent="0.2">
      <c r="A1" s="6" t="s">
        <v>13</v>
      </c>
    </row>
    <row r="3" spans="1:11" ht="24" x14ac:dyDescent="0.3">
      <c r="A3" s="316" t="str">
        <f>Index!A1</f>
        <v>Online Boutique Requirements Specification</v>
      </c>
      <c r="B3" s="316"/>
      <c r="C3" s="316"/>
      <c r="D3" s="316"/>
      <c r="E3" s="316"/>
      <c r="F3" s="316"/>
      <c r="G3" s="316"/>
      <c r="H3" s="316"/>
      <c r="I3" s="316"/>
      <c r="J3" s="316"/>
      <c r="K3" s="316"/>
    </row>
    <row r="4" spans="1:11" ht="24" x14ac:dyDescent="0.3">
      <c r="A4" s="378" t="s">
        <v>63</v>
      </c>
      <c r="B4" s="378"/>
      <c r="C4" s="378"/>
      <c r="D4" s="378"/>
      <c r="E4" s="378"/>
      <c r="F4" s="378"/>
      <c r="G4" s="378"/>
      <c r="H4" s="378"/>
      <c r="I4" s="378"/>
      <c r="J4" s="378"/>
      <c r="K4" s="378"/>
    </row>
    <row r="5" spans="1:11" ht="34.5" customHeight="1" x14ac:dyDescent="0.2"/>
    <row r="6" spans="1:11" x14ac:dyDescent="0.2">
      <c r="A6" s="16" t="s">
        <v>6</v>
      </c>
    </row>
    <row r="7" spans="1:11" x14ac:dyDescent="0.2">
      <c r="A7" s="5" t="s">
        <v>111</v>
      </c>
    </row>
    <row r="8" spans="1:11" x14ac:dyDescent="0.2">
      <c r="A8" s="28" t="s">
        <v>118</v>
      </c>
    </row>
    <row r="9" spans="1:11" ht="15.75" customHeight="1" x14ac:dyDescent="0.2">
      <c r="A9" s="37" t="s">
        <v>119</v>
      </c>
    </row>
    <row r="10" spans="1:11" ht="16.5" customHeight="1" x14ac:dyDescent="0.2"/>
    <row r="11" spans="1:11" ht="16.5" customHeight="1" x14ac:dyDescent="0.2"/>
    <row r="12" spans="1:11" ht="16.5" customHeight="1" x14ac:dyDescent="0.2">
      <c r="A12" s="379" t="s">
        <v>345</v>
      </c>
      <c r="B12" s="380"/>
      <c r="C12" s="380"/>
      <c r="D12" s="380"/>
      <c r="E12" s="380"/>
      <c r="F12" s="380"/>
      <c r="G12" s="380"/>
      <c r="H12" s="380"/>
      <c r="I12" s="380"/>
      <c r="J12" s="380"/>
      <c r="K12" s="380"/>
    </row>
    <row r="13" spans="1:11" ht="16.5" customHeight="1" x14ac:dyDescent="0.2">
      <c r="A13" s="373" t="s">
        <v>325</v>
      </c>
      <c r="B13" s="374"/>
      <c r="C13" s="374"/>
      <c r="D13" s="374"/>
      <c r="E13" s="375"/>
      <c r="F13" s="376" t="s">
        <v>326</v>
      </c>
      <c r="G13" s="377"/>
      <c r="H13" s="377"/>
      <c r="I13" s="377"/>
      <c r="J13" s="377"/>
      <c r="K13" s="377"/>
    </row>
    <row r="14" spans="1:11" ht="16.5" customHeight="1" x14ac:dyDescent="0.2">
      <c r="A14" s="65" t="s">
        <v>21</v>
      </c>
      <c r="B14" s="65" t="s">
        <v>127</v>
      </c>
      <c r="C14" s="65" t="s">
        <v>22</v>
      </c>
      <c r="D14" s="65" t="s">
        <v>8</v>
      </c>
      <c r="E14" s="65" t="s">
        <v>327</v>
      </c>
      <c r="F14" s="66" t="s">
        <v>328</v>
      </c>
      <c r="G14" s="66" t="s">
        <v>329</v>
      </c>
      <c r="H14" s="66" t="s">
        <v>2</v>
      </c>
      <c r="I14" s="66" t="s">
        <v>330</v>
      </c>
      <c r="J14" s="66" t="s">
        <v>331</v>
      </c>
      <c r="K14" s="66" t="s">
        <v>332</v>
      </c>
    </row>
    <row r="15" spans="1:11" ht="29.25" customHeight="1" x14ac:dyDescent="0.2">
      <c r="A15" s="67" t="s">
        <v>333</v>
      </c>
      <c r="B15" s="67" t="s">
        <v>333</v>
      </c>
      <c r="C15" s="67" t="s">
        <v>334</v>
      </c>
      <c r="D15" s="67" t="s">
        <v>14</v>
      </c>
      <c r="E15" s="68"/>
      <c r="F15" s="370"/>
      <c r="G15" s="371"/>
      <c r="H15" s="371"/>
      <c r="I15" s="371"/>
      <c r="J15" s="371"/>
      <c r="K15" s="372"/>
    </row>
    <row r="16" spans="1:11" ht="34.5" customHeight="1" x14ac:dyDescent="0.2">
      <c r="A16" s="69"/>
      <c r="B16" s="69"/>
      <c r="C16" s="69"/>
      <c r="D16" s="70"/>
      <c r="E16" s="71"/>
      <c r="F16" s="72">
        <v>1</v>
      </c>
      <c r="G16" s="73" t="s">
        <v>335</v>
      </c>
      <c r="H16" s="74" t="s">
        <v>336</v>
      </c>
      <c r="I16" s="75" t="s">
        <v>199</v>
      </c>
      <c r="J16" s="75" t="s">
        <v>349</v>
      </c>
      <c r="K16" s="72">
        <v>2</v>
      </c>
    </row>
    <row r="17" spans="1:11" ht="16.5" customHeight="1" x14ac:dyDescent="0.2">
      <c r="A17" s="76"/>
      <c r="B17" s="76"/>
      <c r="C17" s="76"/>
      <c r="D17" s="77"/>
      <c r="E17" s="78"/>
      <c r="F17" s="72">
        <v>2</v>
      </c>
      <c r="G17" s="75" t="s">
        <v>337</v>
      </c>
      <c r="H17" s="74" t="s">
        <v>337</v>
      </c>
      <c r="I17" s="75" t="s">
        <v>200</v>
      </c>
      <c r="J17" s="75"/>
      <c r="K17" s="72" t="s">
        <v>337</v>
      </c>
    </row>
    <row r="18" spans="1:11" ht="16.5" customHeight="1" x14ac:dyDescent="0.2">
      <c r="A18" s="76"/>
      <c r="B18" s="76"/>
      <c r="C18" s="76"/>
      <c r="D18" s="77"/>
      <c r="E18" s="78" t="s">
        <v>338</v>
      </c>
      <c r="F18" s="72" t="s">
        <v>339</v>
      </c>
      <c r="G18" s="75"/>
      <c r="H18" s="74" t="s">
        <v>337</v>
      </c>
      <c r="I18" s="75" t="s">
        <v>347</v>
      </c>
      <c r="J18" s="75"/>
      <c r="K18" s="72"/>
    </row>
    <row r="19" spans="1:11" ht="34.5" customHeight="1" x14ac:dyDescent="0.2">
      <c r="A19" s="79"/>
      <c r="B19" s="79"/>
      <c r="C19" s="79"/>
      <c r="D19" s="80"/>
      <c r="E19" s="81" t="s">
        <v>340</v>
      </c>
      <c r="F19" s="72" t="s">
        <v>341</v>
      </c>
      <c r="G19" s="75"/>
      <c r="H19" s="74" t="s">
        <v>337</v>
      </c>
      <c r="I19" s="75" t="s">
        <v>201</v>
      </c>
      <c r="J19" s="75"/>
      <c r="K19" s="72"/>
    </row>
    <row r="20" spans="1:11" ht="29.25" customHeight="1" x14ac:dyDescent="0.2">
      <c r="A20" s="67" t="s">
        <v>342</v>
      </c>
      <c r="B20" s="67" t="s">
        <v>342</v>
      </c>
      <c r="C20" s="67" t="s">
        <v>343</v>
      </c>
      <c r="D20" s="67" t="s">
        <v>14</v>
      </c>
      <c r="E20" s="68"/>
      <c r="F20" s="370"/>
      <c r="G20" s="371"/>
      <c r="H20" s="371"/>
      <c r="I20" s="371"/>
      <c r="J20" s="371"/>
      <c r="K20" s="372"/>
    </row>
    <row r="21" spans="1:11" ht="34.5" customHeight="1" x14ac:dyDescent="0.2">
      <c r="A21" s="82"/>
      <c r="B21" s="83"/>
      <c r="C21" s="83"/>
      <c r="D21" s="84"/>
      <c r="E21" s="71"/>
      <c r="F21" s="72">
        <v>1</v>
      </c>
      <c r="G21" s="73" t="s">
        <v>335</v>
      </c>
      <c r="H21" s="74" t="s">
        <v>336</v>
      </c>
      <c r="I21" s="75" t="s">
        <v>199</v>
      </c>
      <c r="J21" s="73" t="s">
        <v>7</v>
      </c>
      <c r="K21" s="72">
        <v>2</v>
      </c>
    </row>
    <row r="22" spans="1:11" ht="16.5" customHeight="1" x14ac:dyDescent="0.2">
      <c r="A22" s="85"/>
      <c r="B22" s="86"/>
      <c r="C22" s="86"/>
      <c r="D22" s="87"/>
      <c r="E22" s="78"/>
      <c r="F22" s="72">
        <v>2</v>
      </c>
      <c r="G22" s="75" t="s">
        <v>337</v>
      </c>
      <c r="H22" s="74" t="s">
        <v>337</v>
      </c>
      <c r="I22" s="75" t="s">
        <v>200</v>
      </c>
      <c r="J22" s="75" t="s">
        <v>337</v>
      </c>
      <c r="K22" s="72" t="s">
        <v>337</v>
      </c>
    </row>
    <row r="23" spans="1:11" ht="16.5" customHeight="1" x14ac:dyDescent="0.2">
      <c r="A23" s="85"/>
      <c r="B23" s="86"/>
      <c r="C23" s="86"/>
      <c r="D23" s="87"/>
      <c r="E23" s="78"/>
      <c r="F23" s="72" t="s">
        <v>339</v>
      </c>
      <c r="G23" s="75"/>
      <c r="H23" s="74" t="s">
        <v>337</v>
      </c>
      <c r="I23" s="75" t="s">
        <v>347</v>
      </c>
      <c r="J23" s="75"/>
      <c r="K23" s="72"/>
    </row>
    <row r="24" spans="1:11" ht="34.5" customHeight="1" x14ac:dyDescent="0.2">
      <c r="A24" s="88"/>
      <c r="B24" s="89"/>
      <c r="C24" s="89"/>
      <c r="D24" s="90"/>
      <c r="E24" s="81"/>
      <c r="F24" s="72" t="s">
        <v>344</v>
      </c>
      <c r="G24" s="75"/>
      <c r="H24" s="74" t="s">
        <v>337</v>
      </c>
      <c r="I24" s="75" t="s">
        <v>201</v>
      </c>
      <c r="J24" s="75"/>
      <c r="K24" s="72"/>
    </row>
    <row r="25" spans="1:11" ht="16.5" customHeight="1" x14ac:dyDescent="0.2"/>
    <row r="26" spans="1:11" ht="16.5" customHeight="1" x14ac:dyDescent="0.2">
      <c r="A26" s="33" t="s">
        <v>579</v>
      </c>
    </row>
    <row r="27" spans="1:11" ht="16.5" customHeight="1" x14ac:dyDescent="0.2">
      <c r="A27" s="40" t="s">
        <v>262</v>
      </c>
      <c r="B27" s="40"/>
      <c r="C27" s="40"/>
      <c r="D27" s="40"/>
      <c r="E27" s="40"/>
      <c r="F27" s="40"/>
      <c r="G27" s="40"/>
      <c r="H27" s="40"/>
      <c r="I27" s="40"/>
      <c r="J27" s="40"/>
      <c r="K27" s="41"/>
    </row>
    <row r="28" spans="1:11" ht="16.5" customHeight="1" x14ac:dyDescent="0.2">
      <c r="A28" s="373" t="s">
        <v>325</v>
      </c>
      <c r="B28" s="374"/>
      <c r="C28" s="374"/>
      <c r="D28" s="374"/>
      <c r="E28" s="375"/>
      <c r="F28" s="376" t="s">
        <v>326</v>
      </c>
      <c r="G28" s="377"/>
      <c r="H28" s="377"/>
      <c r="I28" s="377"/>
      <c r="J28" s="377"/>
      <c r="K28" s="377"/>
    </row>
    <row r="29" spans="1:11" ht="16.5" customHeight="1" x14ac:dyDescent="0.2">
      <c r="A29" s="65" t="s">
        <v>21</v>
      </c>
      <c r="B29" s="65" t="s">
        <v>127</v>
      </c>
      <c r="C29" s="65" t="s">
        <v>22</v>
      </c>
      <c r="D29" s="65" t="s">
        <v>8</v>
      </c>
      <c r="E29" s="65" t="s">
        <v>327</v>
      </c>
      <c r="F29" s="66" t="s">
        <v>328</v>
      </c>
      <c r="G29" s="66" t="s">
        <v>329</v>
      </c>
      <c r="H29" s="66" t="s">
        <v>2</v>
      </c>
      <c r="I29" s="66" t="s">
        <v>330</v>
      </c>
      <c r="J29" s="66" t="s">
        <v>331</v>
      </c>
      <c r="K29" s="66" t="s">
        <v>332</v>
      </c>
    </row>
    <row r="30" spans="1:11" ht="16.5" customHeight="1" x14ac:dyDescent="0.2">
      <c r="A30" s="91" t="s">
        <v>160</v>
      </c>
      <c r="B30" s="91" t="s">
        <v>161</v>
      </c>
      <c r="C30" s="91" t="s">
        <v>196</v>
      </c>
      <c r="D30" s="92" t="s">
        <v>14</v>
      </c>
      <c r="E30" s="93"/>
      <c r="F30" s="93"/>
      <c r="G30" s="94"/>
      <c r="H30" s="94"/>
      <c r="I30" s="96"/>
      <c r="J30" s="96"/>
      <c r="K30" s="95"/>
    </row>
    <row r="31" spans="1:11" ht="29.25" customHeight="1" x14ac:dyDescent="0.2">
      <c r="A31" s="54"/>
      <c r="B31" s="54"/>
      <c r="C31" s="54"/>
      <c r="D31" s="54"/>
      <c r="E31" s="54" t="s">
        <v>162</v>
      </c>
      <c r="F31" s="54" t="s">
        <v>165</v>
      </c>
      <c r="G31" s="53" t="s">
        <v>166</v>
      </c>
      <c r="H31" s="53" t="s">
        <v>164</v>
      </c>
      <c r="I31" s="96" t="s">
        <v>200</v>
      </c>
      <c r="J31" s="96"/>
      <c r="K31" s="54" t="s">
        <v>163</v>
      </c>
    </row>
  </sheetData>
  <dataConsolidate/>
  <mergeCells count="9">
    <mergeCell ref="F15:K15"/>
    <mergeCell ref="F20:K20"/>
    <mergeCell ref="A28:E28"/>
    <mergeCell ref="F28:K28"/>
    <mergeCell ref="A3:K3"/>
    <mergeCell ref="A4:K4"/>
    <mergeCell ref="A12:K12"/>
    <mergeCell ref="A13:E13"/>
    <mergeCell ref="F13:K13"/>
  </mergeCells>
  <dataValidations count="6">
    <dataValidation type="list" allowBlank="1" showInputMessage="1" showErrorMessage="1" sqref="C30 C20 C15" xr:uid="{00000000-0002-0000-1300-000000000000}">
      <formula1>ScenarioType</formula1>
    </dataValidation>
    <dataValidation type="list" allowBlank="1" showInputMessage="1" showErrorMessage="1" sqref="I16:I19 I30:I31" xr:uid="{00000000-0002-0000-1300-000001000000}">
      <formula1>$B$62:$G$62</formula1>
    </dataValidation>
    <dataValidation type="list" allowBlank="1" showInputMessage="1" showErrorMessage="1" sqref="J30:J31" xr:uid="{00000000-0002-0000-1300-000002000000}">
      <formula1>$B$63:$G$63</formula1>
    </dataValidation>
    <dataValidation type="list" allowBlank="1" showInputMessage="1" showErrorMessage="1" sqref="D20 D30" xr:uid="{00000000-0002-0000-1300-000003000000}">
      <formula1>$B$57:$C$57</formula1>
    </dataValidation>
    <dataValidation type="list" allowBlank="1" showInputMessage="1" showErrorMessage="1" sqref="A26" xr:uid="{00000000-0002-0000-1300-000004000000}">
      <formula1>ID_System</formula1>
    </dataValidation>
    <dataValidation type="list" allowBlank="1" showInputMessage="1" showErrorMessage="1" sqref="I21:I24 D15 J16:J19" xr:uid="{00000000-0002-0000-1300-000005000000}">
      <formula1>#REF!</formula1>
    </dataValidation>
  </dataValidations>
  <hyperlinks>
    <hyperlink ref="A1" location="index!A1" display="Back to Index" xr:uid="{00000000-0004-0000-1300-000000000000}"/>
  </hyperlink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
    <tabColor theme="5" tint="0.79998168889431442"/>
  </sheetPr>
  <dimension ref="A1:H11"/>
  <sheetViews>
    <sheetView workbookViewId="0"/>
  </sheetViews>
  <sheetFormatPr baseColWidth="10" defaultColWidth="8.83203125" defaultRowHeight="15" x14ac:dyDescent="0.2"/>
  <cols>
    <col min="1" max="1" width="9.1640625" customWidth="1"/>
    <col min="2" max="2" width="20.6640625" customWidth="1"/>
    <col min="3" max="3" width="10.5" customWidth="1"/>
    <col min="4" max="4" width="18.33203125" customWidth="1"/>
    <col min="5" max="5" width="11" customWidth="1"/>
    <col min="6" max="6" width="12" customWidth="1"/>
    <col min="7" max="7" width="16.83203125" customWidth="1"/>
    <col min="8" max="8" width="70.83203125" customWidth="1"/>
    <col min="9" max="9" width="14.6640625" customWidth="1"/>
    <col min="11" max="11" width="19.83203125" customWidth="1"/>
    <col min="12" max="12" width="19.5" customWidth="1"/>
    <col min="13" max="13" width="25.5" customWidth="1"/>
  </cols>
  <sheetData>
    <row r="1" spans="1:8" ht="24" x14ac:dyDescent="0.3">
      <c r="A1" s="6" t="s">
        <v>13</v>
      </c>
      <c r="C1" s="1"/>
      <c r="D1" s="1"/>
      <c r="E1" s="1"/>
      <c r="F1" s="1"/>
    </row>
    <row r="2" spans="1:8" ht="16.5" customHeight="1" x14ac:dyDescent="0.3">
      <c r="A2" s="6"/>
      <c r="C2" s="1"/>
      <c r="D2" s="1"/>
      <c r="E2" s="1"/>
      <c r="F2" s="1"/>
    </row>
    <row r="3" spans="1:8" ht="24" x14ac:dyDescent="0.3">
      <c r="A3" s="316" t="str">
        <f>Index!A1</f>
        <v>Online Boutique Requirements Specification</v>
      </c>
      <c r="B3" s="316"/>
      <c r="C3" s="316"/>
      <c r="D3" s="316"/>
      <c r="E3" s="316"/>
      <c r="F3" s="316"/>
      <c r="G3" s="316"/>
      <c r="H3" s="29"/>
    </row>
    <row r="4" spans="1:8" ht="24" x14ac:dyDescent="0.3">
      <c r="A4" s="317" t="s">
        <v>59</v>
      </c>
      <c r="B4" s="317"/>
      <c r="C4" s="317"/>
      <c r="D4" s="317"/>
      <c r="E4" s="317"/>
      <c r="F4" s="317"/>
      <c r="G4" s="317"/>
      <c r="H4" s="19"/>
    </row>
    <row r="5" spans="1:8" ht="34.5" customHeight="1" x14ac:dyDescent="0.2"/>
    <row r="6" spans="1:8" ht="16" x14ac:dyDescent="0.2">
      <c r="A6" s="169" t="s">
        <v>21</v>
      </c>
      <c r="B6" s="170" t="s">
        <v>127</v>
      </c>
      <c r="C6" s="234" t="s">
        <v>22</v>
      </c>
      <c r="D6" s="234" t="s">
        <v>155</v>
      </c>
      <c r="E6" s="171" t="s">
        <v>19</v>
      </c>
      <c r="F6" s="171" t="s">
        <v>35</v>
      </c>
      <c r="G6" s="171" t="s">
        <v>40</v>
      </c>
      <c r="H6" s="172" t="s">
        <v>2</v>
      </c>
    </row>
    <row r="7" spans="1:8" ht="21" customHeight="1" x14ac:dyDescent="0.2">
      <c r="A7" s="143" t="s">
        <v>255</v>
      </c>
      <c r="B7" s="53" t="s">
        <v>254</v>
      </c>
      <c r="C7" s="53" t="s">
        <v>77</v>
      </c>
      <c r="D7" s="53" t="s">
        <v>6</v>
      </c>
      <c r="E7" s="53" t="s">
        <v>256</v>
      </c>
      <c r="F7" s="53" t="s">
        <v>257</v>
      </c>
      <c r="G7" s="53" t="s">
        <v>258</v>
      </c>
      <c r="H7" s="125" t="s">
        <v>259</v>
      </c>
    </row>
    <row r="8" spans="1:8" ht="21" customHeight="1" x14ac:dyDescent="0.2">
      <c r="A8" s="148"/>
      <c r="B8" s="149"/>
      <c r="C8" s="149"/>
      <c r="D8" s="149"/>
      <c r="E8" s="149"/>
      <c r="F8" s="149"/>
      <c r="G8" s="149"/>
      <c r="H8" s="150"/>
    </row>
    <row r="9" spans="1:8" ht="21" customHeight="1" x14ac:dyDescent="0.2">
      <c r="A9" s="148"/>
      <c r="B9" s="149"/>
      <c r="C9" s="149"/>
      <c r="D9" s="149"/>
      <c r="E9" s="149"/>
      <c r="F9" s="149"/>
      <c r="G9" s="149"/>
      <c r="H9" s="150"/>
    </row>
    <row r="10" spans="1:8" ht="21" customHeight="1" x14ac:dyDescent="0.2">
      <c r="A10" s="143"/>
      <c r="B10" s="53"/>
      <c r="C10" s="53"/>
      <c r="D10" s="53"/>
      <c r="E10" s="53"/>
      <c r="F10" s="53"/>
      <c r="G10" s="53"/>
      <c r="H10" s="125"/>
    </row>
    <row r="11" spans="1:8" ht="21" customHeight="1" x14ac:dyDescent="0.2">
      <c r="A11" s="148"/>
      <c r="B11" s="149"/>
      <c r="C11" s="149"/>
      <c r="D11" s="149"/>
      <c r="E11" s="149"/>
      <c r="F11" s="149"/>
      <c r="G11" s="149"/>
      <c r="H11" s="150"/>
    </row>
  </sheetData>
  <mergeCells count="2">
    <mergeCell ref="A3:G3"/>
    <mergeCell ref="A4:G4"/>
  </mergeCells>
  <dataValidations count="2">
    <dataValidation type="list" allowBlank="1" showInputMessage="1" showErrorMessage="1" sqref="C7:C11" xr:uid="{00000000-0002-0000-1500-000000000000}">
      <formula1>N_GlossaryTermType</formula1>
    </dataValidation>
    <dataValidation type="list" allowBlank="1" showInputMessage="1" showErrorMessage="1" sqref="D7:D11" xr:uid="{00000000-0002-0000-1500-000001000000}">
      <formula1>N_TermApplicableTo</formula1>
    </dataValidation>
  </dataValidations>
  <hyperlinks>
    <hyperlink ref="A1" location="index!A1" display="Back to Index" xr:uid="{00000000-0004-0000-1500-000000000000}"/>
  </hyperlinks>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theme="5" tint="0.79998168889431442"/>
  </sheetPr>
  <dimension ref="A1:J27"/>
  <sheetViews>
    <sheetView workbookViewId="0"/>
  </sheetViews>
  <sheetFormatPr baseColWidth="10" defaultColWidth="8.83203125" defaultRowHeight="15" x14ac:dyDescent="0.2"/>
  <cols>
    <col min="1" max="1" width="12.5" customWidth="1"/>
    <col min="2" max="2" width="26" customWidth="1"/>
    <col min="3" max="3" width="14.33203125" customWidth="1"/>
    <col min="4" max="4" width="18.33203125" customWidth="1"/>
    <col min="5" max="5" width="19.83203125" customWidth="1"/>
    <col min="6" max="6" width="15" customWidth="1"/>
    <col min="7" max="7" width="14.1640625" customWidth="1"/>
    <col min="8" max="8" width="13.1640625" customWidth="1"/>
    <col min="9" max="9" width="11" customWidth="1"/>
    <col min="10" max="10" width="54.33203125" customWidth="1"/>
  </cols>
  <sheetData>
    <row r="1" spans="1:10" ht="24" x14ac:dyDescent="0.3">
      <c r="A1" s="6" t="s">
        <v>13</v>
      </c>
      <c r="B1" s="1"/>
      <c r="J1" s="1"/>
    </row>
    <row r="3" spans="1:10" ht="24" x14ac:dyDescent="0.3">
      <c r="A3" s="316" t="str">
        <f>Index!A1</f>
        <v>Online Boutique Requirements Specification</v>
      </c>
      <c r="B3" s="316"/>
      <c r="C3" s="316"/>
      <c r="D3" s="316"/>
      <c r="E3" s="316"/>
      <c r="F3" s="316"/>
      <c r="G3" s="316"/>
      <c r="H3" s="316"/>
      <c r="I3" s="316"/>
      <c r="J3" s="316"/>
    </row>
    <row r="4" spans="1:10" ht="24" x14ac:dyDescent="0.3">
      <c r="A4" s="317" t="s">
        <v>400</v>
      </c>
      <c r="B4" s="317"/>
      <c r="C4" s="317"/>
      <c r="D4" s="317"/>
      <c r="E4" s="317"/>
      <c r="F4" s="317"/>
      <c r="G4" s="317"/>
      <c r="H4" s="317"/>
      <c r="I4" s="317"/>
      <c r="J4" s="317"/>
    </row>
    <row r="5" spans="1:10" ht="24" x14ac:dyDescent="0.3">
      <c r="A5" s="33" t="s">
        <v>579</v>
      </c>
      <c r="B5" s="109"/>
      <c r="C5" s="109"/>
      <c r="D5" s="109"/>
      <c r="E5" s="109"/>
      <c r="F5" s="109"/>
      <c r="G5" s="109"/>
      <c r="H5" s="109"/>
      <c r="I5" s="109"/>
      <c r="J5" s="109"/>
    </row>
    <row r="6" spans="1:10" ht="15" customHeight="1" x14ac:dyDescent="0.2">
      <c r="A6" s="118" t="s">
        <v>427</v>
      </c>
      <c r="B6" s="119"/>
      <c r="C6" s="119"/>
      <c r="D6" s="119"/>
      <c r="E6" s="387" t="s">
        <v>425</v>
      </c>
      <c r="F6" s="388"/>
      <c r="G6" s="389"/>
    </row>
    <row r="7" spans="1:10" ht="16" x14ac:dyDescent="0.2">
      <c r="A7" s="14" t="s">
        <v>21</v>
      </c>
      <c r="B7" s="14" t="s">
        <v>127</v>
      </c>
      <c r="C7" s="124" t="s">
        <v>22</v>
      </c>
      <c r="D7" s="30" t="s">
        <v>442</v>
      </c>
      <c r="E7" s="120" t="s">
        <v>409</v>
      </c>
      <c r="F7" s="120" t="s">
        <v>408</v>
      </c>
      <c r="G7" s="126" t="s">
        <v>426</v>
      </c>
      <c r="H7" s="120" t="s">
        <v>402</v>
      </c>
      <c r="I7" s="120" t="s">
        <v>20</v>
      </c>
      <c r="J7" s="30" t="s">
        <v>2</v>
      </c>
    </row>
    <row r="8" spans="1:10" ht="23.25" customHeight="1" x14ac:dyDescent="0.2">
      <c r="A8" s="9"/>
      <c r="B8" s="9"/>
      <c r="C8" s="129"/>
      <c r="D8" s="114" t="s">
        <v>443</v>
      </c>
      <c r="E8" s="9">
        <v>10</v>
      </c>
      <c r="F8" s="9">
        <v>1</v>
      </c>
      <c r="G8" s="115">
        <f>AVERAGE(E8,F8)</f>
        <v>5.5</v>
      </c>
      <c r="H8" s="9"/>
      <c r="I8" s="9"/>
      <c r="J8" s="114" t="s">
        <v>424</v>
      </c>
    </row>
    <row r="9" spans="1:10" ht="19" x14ac:dyDescent="0.25">
      <c r="C9" s="116"/>
      <c r="D9" s="127"/>
      <c r="E9" s="9"/>
      <c r="F9" s="9"/>
      <c r="G9" s="9"/>
      <c r="H9" s="9"/>
      <c r="I9" s="128"/>
      <c r="J9" s="127"/>
    </row>
    <row r="10" spans="1:10" ht="18.75" customHeight="1" x14ac:dyDescent="0.2">
      <c r="D10" s="381" t="s">
        <v>430</v>
      </c>
      <c r="E10" s="381"/>
      <c r="F10" s="381"/>
      <c r="G10" s="381"/>
      <c r="H10" s="381"/>
      <c r="I10" s="381"/>
      <c r="J10" s="381"/>
    </row>
    <row r="11" spans="1:10" ht="18.75" customHeight="1" x14ac:dyDescent="0.2">
      <c r="D11" s="110" t="s">
        <v>21</v>
      </c>
      <c r="E11" s="110" t="s">
        <v>432</v>
      </c>
      <c r="F11" s="111" t="s">
        <v>433</v>
      </c>
      <c r="G11" s="382"/>
      <c r="H11" s="382"/>
      <c r="I11" s="382"/>
      <c r="J11" s="382"/>
    </row>
    <row r="12" spans="1:10" ht="18.75" customHeight="1" x14ac:dyDescent="0.2">
      <c r="D12" s="112" t="str">
        <f>Other.Vulnerabilities!A8</f>
        <v>vu_PHPMyAdmin</v>
      </c>
      <c r="E12" s="112" t="str">
        <f>IFERROR(VLOOKUP($D12,Other.Vulnerabilities!A:J,2,FALSE),"")</f>
        <v>phpMyAdmin Reflected Cross-site Scripting Vulnerability</v>
      </c>
      <c r="F12" s="112" t="str">
        <f>IFERROR(VLOOKUP($D12,Other.Vulnerabilities!A:L,3,FALSE),"")</f>
        <v>IT</v>
      </c>
      <c r="G12" s="384" t="str">
        <f>IFERROR(VLOOKUP($D12,Other.Vulnerabilities!D:L,2,FALSE),"")</f>
        <v/>
      </c>
      <c r="H12" s="385"/>
      <c r="I12" s="385"/>
      <c r="J12" s="386"/>
    </row>
    <row r="13" spans="1:10" ht="18.75" customHeight="1" x14ac:dyDescent="0.2">
      <c r="D13" s="112" t="str">
        <f>Other.Vulnerabilities!A9</f>
        <v>vu_MySql_Stored</v>
      </c>
      <c r="E13" s="112" t="str">
        <f>IFERROR(VLOOKUP($D13,Other.Vulnerabilities!A:J,2,FALSE),"")</f>
        <v>MySQL Stored SQL Injection</v>
      </c>
      <c r="F13" s="112" t="str">
        <f>IFERROR(VLOOKUP($D13,Other.Vulnerabilities!A:L,3,FALSE),"")</f>
        <v>IT</v>
      </c>
      <c r="G13" s="384" t="str">
        <f>IFERROR(VLOOKUP($D13,Other.Vulnerabilities!D:L,2,FALSE),"")</f>
        <v/>
      </c>
      <c r="H13" s="385"/>
      <c r="I13" s="385"/>
      <c r="J13" s="386"/>
    </row>
    <row r="14" spans="1:10" ht="18.75" customHeight="1" x14ac:dyDescent="0.2">
      <c r="D14" s="381" t="s">
        <v>429</v>
      </c>
      <c r="E14" s="381"/>
      <c r="F14" s="381"/>
      <c r="G14" s="381"/>
      <c r="H14" s="381"/>
      <c r="I14" s="381"/>
      <c r="J14" s="381"/>
    </row>
    <row r="15" spans="1:10" ht="18.75" customHeight="1" x14ac:dyDescent="0.2">
      <c r="D15" s="110" t="s">
        <v>21</v>
      </c>
      <c r="E15" s="110" t="s">
        <v>127</v>
      </c>
      <c r="F15" s="111" t="s">
        <v>22</v>
      </c>
      <c r="G15" s="382" t="s">
        <v>431</v>
      </c>
      <c r="H15" s="382"/>
      <c r="I15" s="382"/>
      <c r="J15" s="382"/>
    </row>
    <row r="16" spans="1:10" ht="23.25" customHeight="1" x14ac:dyDescent="0.2">
      <c r="D16" s="112"/>
      <c r="E16" s="112"/>
      <c r="F16" s="117"/>
      <c r="G16" s="383"/>
      <c r="H16" s="383"/>
      <c r="I16" s="383"/>
      <c r="J16" s="383"/>
    </row>
    <row r="17" spans="1:10" x14ac:dyDescent="0.2">
      <c r="C17" s="24"/>
      <c r="D17" s="24"/>
      <c r="E17" s="24"/>
    </row>
    <row r="18" spans="1:10" ht="16" x14ac:dyDescent="0.2">
      <c r="A18" s="14" t="s">
        <v>21</v>
      </c>
      <c r="B18" s="14" t="s">
        <v>127</v>
      </c>
      <c r="C18" s="124" t="s">
        <v>22</v>
      </c>
      <c r="D18" s="30" t="s">
        <v>435</v>
      </c>
      <c r="E18" s="120" t="s">
        <v>409</v>
      </c>
      <c r="F18" s="120" t="s">
        <v>408</v>
      </c>
      <c r="G18" s="126" t="s">
        <v>426</v>
      </c>
      <c r="H18" s="120" t="s">
        <v>402</v>
      </c>
      <c r="I18" s="120" t="s">
        <v>20</v>
      </c>
      <c r="J18" s="30" t="s">
        <v>2</v>
      </c>
    </row>
    <row r="19" spans="1:10" ht="23.25" customHeight="1" x14ac:dyDescent="0.2">
      <c r="A19" s="53" t="s">
        <v>436</v>
      </c>
      <c r="B19" s="53" t="s">
        <v>405</v>
      </c>
      <c r="C19" s="125" t="s">
        <v>401</v>
      </c>
      <c r="D19" s="114">
        <f>Intro.System!A9</f>
        <v>0</v>
      </c>
      <c r="E19" s="9">
        <v>10</v>
      </c>
      <c r="F19" s="9">
        <v>1</v>
      </c>
      <c r="G19" s="115">
        <f>AVERAGE(E19,F19)</f>
        <v>5.5</v>
      </c>
      <c r="H19" s="9"/>
      <c r="I19" s="9"/>
      <c r="J19" s="9" t="s">
        <v>406</v>
      </c>
    </row>
    <row r="20" spans="1:10" ht="19" x14ac:dyDescent="0.25">
      <c r="C20" s="116"/>
      <c r="D20" s="127"/>
      <c r="E20" s="9"/>
      <c r="F20" s="9"/>
      <c r="G20" s="9"/>
      <c r="H20" s="9"/>
      <c r="I20" s="128"/>
      <c r="J20" s="127"/>
    </row>
    <row r="21" spans="1:10" ht="18.75" customHeight="1" x14ac:dyDescent="0.2">
      <c r="D21" s="381" t="s">
        <v>430</v>
      </c>
      <c r="E21" s="381"/>
      <c r="F21" s="381"/>
      <c r="G21" s="381"/>
      <c r="H21" s="381"/>
      <c r="I21" s="381"/>
      <c r="J21" s="381"/>
    </row>
    <row r="22" spans="1:10" ht="18.75" customHeight="1" x14ac:dyDescent="0.2">
      <c r="D22" s="110" t="s">
        <v>21</v>
      </c>
      <c r="E22" s="110" t="s">
        <v>432</v>
      </c>
      <c r="F22" s="111" t="s">
        <v>433</v>
      </c>
      <c r="G22" s="382" t="s">
        <v>434</v>
      </c>
      <c r="H22" s="382"/>
      <c r="I22" s="382"/>
      <c r="J22" s="382"/>
    </row>
    <row r="23" spans="1:10" ht="18.75" customHeight="1" x14ac:dyDescent="0.2">
      <c r="D23" s="112" t="str">
        <f>Other.Vulnerabilities!A8</f>
        <v>vu_PHPMyAdmin</v>
      </c>
      <c r="E23" s="112"/>
      <c r="F23" s="113"/>
      <c r="G23" s="383"/>
      <c r="H23" s="383"/>
      <c r="I23" s="383"/>
      <c r="J23" s="383"/>
    </row>
    <row r="24" spans="1:10" ht="18.75" customHeight="1" x14ac:dyDescent="0.2">
      <c r="D24" s="381" t="s">
        <v>429</v>
      </c>
      <c r="E24" s="381"/>
      <c r="F24" s="381"/>
      <c r="G24" s="381"/>
      <c r="H24" s="381"/>
      <c r="I24" s="381"/>
      <c r="J24" s="381"/>
    </row>
    <row r="25" spans="1:10" ht="18.75" customHeight="1" x14ac:dyDescent="0.2">
      <c r="D25" s="110" t="s">
        <v>21</v>
      </c>
      <c r="E25" s="110" t="s">
        <v>127</v>
      </c>
      <c r="F25" s="111" t="s">
        <v>22</v>
      </c>
      <c r="G25" s="382" t="s">
        <v>431</v>
      </c>
      <c r="H25" s="382"/>
      <c r="I25" s="382"/>
      <c r="J25" s="382"/>
    </row>
    <row r="26" spans="1:10" ht="23.25" customHeight="1" x14ac:dyDescent="0.2">
      <c r="D26" s="112" t="s">
        <v>437</v>
      </c>
      <c r="E26" s="112" t="s">
        <v>438</v>
      </c>
      <c r="F26" s="117" t="s">
        <v>404</v>
      </c>
      <c r="G26" s="383" t="s">
        <v>439</v>
      </c>
      <c r="H26" s="383"/>
      <c r="I26" s="383"/>
      <c r="J26" s="383"/>
    </row>
    <row r="27" spans="1:10" ht="23.25" customHeight="1" x14ac:dyDescent="0.2">
      <c r="D27" s="112" t="s">
        <v>440</v>
      </c>
      <c r="E27" s="112" t="s">
        <v>441</v>
      </c>
      <c r="F27" s="117" t="s">
        <v>403</v>
      </c>
      <c r="G27" s="383" t="s">
        <v>439</v>
      </c>
      <c r="H27" s="383"/>
      <c r="I27" s="383"/>
      <c r="J27" s="383"/>
    </row>
  </sheetData>
  <mergeCells count="17">
    <mergeCell ref="G11:J11"/>
    <mergeCell ref="G16:J16"/>
    <mergeCell ref="G12:J12"/>
    <mergeCell ref="A3:J3"/>
    <mergeCell ref="A4:J4"/>
    <mergeCell ref="E6:G6"/>
    <mergeCell ref="D10:J10"/>
    <mergeCell ref="G13:J13"/>
    <mergeCell ref="D24:J24"/>
    <mergeCell ref="G25:J25"/>
    <mergeCell ref="G26:J26"/>
    <mergeCell ref="G27:J27"/>
    <mergeCell ref="D14:J14"/>
    <mergeCell ref="G15:J15"/>
    <mergeCell ref="D21:J21"/>
    <mergeCell ref="G22:J22"/>
    <mergeCell ref="G23:J23"/>
  </mergeCells>
  <conditionalFormatting sqref="I14:I15 I9:I10 G8">
    <cfRule type="colorScale" priority="7">
      <colorScale>
        <cfvo type="num" val="3"/>
        <cfvo type="num" val="6"/>
        <cfvo type="num" val="9"/>
        <color rgb="FF81D989"/>
        <color rgb="FFFFEB84"/>
        <color rgb="FFFF0000"/>
      </colorScale>
    </cfRule>
  </conditionalFormatting>
  <conditionalFormatting sqref="I24:I25 I20:I21 G19">
    <cfRule type="colorScale" priority="1">
      <colorScale>
        <cfvo type="num" val="3"/>
        <cfvo type="num" val="6"/>
        <cfvo type="num" val="9"/>
        <color rgb="FF81D989"/>
        <color rgb="FFFFEB84"/>
        <color rgb="FFFF0000"/>
      </colorScale>
    </cfRule>
  </conditionalFormatting>
  <dataValidations disablePrompts="1" count="4">
    <dataValidation type="list" allowBlank="1" showInputMessage="1" showErrorMessage="1" sqref="C19:C20" xr:uid="{00000000-0002-0000-1600-000000000000}">
      <formula1>$B$122:$G$122</formula1>
    </dataValidation>
    <dataValidation type="list" allowBlank="1" showInputMessage="1" showErrorMessage="1" sqref="F26:F27" xr:uid="{00000000-0002-0000-1600-000001000000}">
      <formula1>$B$125:$E$125</formula1>
    </dataValidation>
    <dataValidation type="list" allowBlank="1" showInputMessage="1" showErrorMessage="1" sqref="A5" xr:uid="{00000000-0002-0000-1600-000002000000}">
      <formula1>ID_System</formula1>
    </dataValidation>
    <dataValidation type="list" allowBlank="1" showInputMessage="1" showErrorMessage="1" sqref="C8:C9 F16" xr:uid="{00000000-0002-0000-1600-000003000000}">
      <formula1>#REF!</formula1>
    </dataValidation>
  </dataValidations>
  <hyperlinks>
    <hyperlink ref="A1" location="index!A1" display="Back to Index" xr:uid="{00000000-0004-0000-1600-000000000000}"/>
  </hyperlink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iconSet" priority="8" id="{A4C8383E-6F3F-40A0-86D7-96E962BE8AE7}">
            <x14:iconSet iconSet="3Symbols" custom="1">
              <x14:cfvo type="percent">
                <xm:f>0</xm:f>
              </x14:cfvo>
              <x14:cfvo type="num">
                <xm:f>3</xm:f>
              </x14:cfvo>
              <x14:cfvo type="num">
                <xm:f>6</xm:f>
              </x14:cfvo>
              <x14:cfIcon iconSet="3Symbols" iconId="2"/>
              <x14:cfIcon iconSet="3Symbols" iconId="1"/>
              <x14:cfIcon iconSet="3Symbols" iconId="0"/>
            </x14:iconSet>
          </x14:cfRule>
          <xm:sqref>I9:I10 G8 I14:I15</xm:sqref>
        </x14:conditionalFormatting>
        <x14:conditionalFormatting xmlns:xm="http://schemas.microsoft.com/office/excel/2006/main">
          <x14:cfRule type="iconSet" priority="2" id="{F539DD32-27AD-4889-96E5-4803935145CF}">
            <x14:iconSet iconSet="3Symbols" custom="1">
              <x14:cfvo type="percent">
                <xm:f>0</xm:f>
              </x14:cfvo>
              <x14:cfvo type="num">
                <xm:f>3</xm:f>
              </x14:cfvo>
              <x14:cfvo type="num">
                <xm:f>6</xm:f>
              </x14:cfvo>
              <x14:cfIcon iconSet="3Symbols" iconId="2"/>
              <x14:cfIcon iconSet="3Symbols" iconId="1"/>
              <x14:cfIcon iconSet="3Symbols" iconId="0"/>
            </x14:iconSet>
          </x14:cfRule>
          <xm:sqref>I20:I21 G19 I24:I25</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tabColor theme="5" tint="0.79998168889431442"/>
  </sheetPr>
  <dimension ref="A1:J15"/>
  <sheetViews>
    <sheetView workbookViewId="0"/>
  </sheetViews>
  <sheetFormatPr baseColWidth="10" defaultColWidth="8.83203125" defaultRowHeight="15" x14ac:dyDescent="0.2"/>
  <cols>
    <col min="1" max="1" width="17.83203125" customWidth="1"/>
    <col min="2" max="3" width="17.5" customWidth="1"/>
    <col min="4" max="4" width="15" customWidth="1"/>
    <col min="5" max="5" width="56.5" customWidth="1"/>
    <col min="6" max="6" width="25.5" customWidth="1"/>
    <col min="7" max="7" width="15.5" customWidth="1"/>
    <col min="8" max="8" width="14.5" customWidth="1"/>
    <col min="9" max="9" width="13.33203125" customWidth="1"/>
    <col min="10" max="10" width="46.1640625" customWidth="1"/>
  </cols>
  <sheetData>
    <row r="1" spans="1:10" x14ac:dyDescent="0.2">
      <c r="A1" s="6" t="s">
        <v>13</v>
      </c>
      <c r="B1" s="6"/>
      <c r="C1" s="6"/>
      <c r="D1" s="6"/>
      <c r="E1" s="6"/>
      <c r="F1" s="6"/>
      <c r="J1" s="6"/>
    </row>
    <row r="3" spans="1:10" ht="24" x14ac:dyDescent="0.3">
      <c r="A3" s="316" t="str">
        <f>Index!A1</f>
        <v>Online Boutique Requirements Specification</v>
      </c>
      <c r="B3" s="316"/>
      <c r="C3" s="316"/>
      <c r="D3" s="316"/>
      <c r="E3" s="316"/>
      <c r="F3" s="390"/>
      <c r="G3" s="390"/>
      <c r="H3" s="390"/>
      <c r="I3" s="390"/>
      <c r="J3" s="390"/>
    </row>
    <row r="4" spans="1:10" ht="24" x14ac:dyDescent="0.3">
      <c r="A4" s="317" t="s">
        <v>410</v>
      </c>
      <c r="B4" s="317"/>
      <c r="C4" s="317"/>
      <c r="D4" s="317"/>
      <c r="E4" s="317"/>
      <c r="F4" s="317"/>
      <c r="G4" s="317"/>
      <c r="H4" s="317"/>
      <c r="I4" s="317"/>
      <c r="J4" s="317"/>
    </row>
    <row r="5" spans="1:10" ht="30" customHeight="1" x14ac:dyDescent="0.2"/>
    <row r="6" spans="1:10" x14ac:dyDescent="0.2">
      <c r="A6" s="33" t="s">
        <v>579</v>
      </c>
    </row>
    <row r="7" spans="1:10" ht="34" x14ac:dyDescent="0.2">
      <c r="A7" s="145" t="s">
        <v>21</v>
      </c>
      <c r="B7" s="146" t="s">
        <v>127</v>
      </c>
      <c r="C7" s="192" t="s">
        <v>18</v>
      </c>
      <c r="D7" s="192" t="s">
        <v>550</v>
      </c>
      <c r="E7" s="146" t="s">
        <v>411</v>
      </c>
      <c r="F7" s="192" t="s">
        <v>749</v>
      </c>
      <c r="G7" s="192" t="s">
        <v>412</v>
      </c>
      <c r="H7" s="192" t="s">
        <v>402</v>
      </c>
      <c r="I7" s="192" t="s">
        <v>128</v>
      </c>
      <c r="J7" s="147" t="s">
        <v>2</v>
      </c>
    </row>
    <row r="8" spans="1:10" s="225" customFormat="1" ht="73.5" customHeight="1" x14ac:dyDescent="0.2">
      <c r="A8" s="151" t="s">
        <v>428</v>
      </c>
      <c r="B8" s="122" t="s">
        <v>413</v>
      </c>
      <c r="C8" s="122" t="s">
        <v>674</v>
      </c>
      <c r="D8" s="122" t="s">
        <v>680</v>
      </c>
      <c r="E8" s="227" t="s">
        <v>415</v>
      </c>
      <c r="F8" s="227" t="s">
        <v>690</v>
      </c>
      <c r="G8" s="224">
        <v>6.1</v>
      </c>
      <c r="H8" s="121"/>
      <c r="I8" s="121"/>
      <c r="J8" s="152" t="s">
        <v>414</v>
      </c>
    </row>
    <row r="9" spans="1:10" s="225" customFormat="1" ht="135" customHeight="1" x14ac:dyDescent="0.2">
      <c r="A9" s="151" t="s">
        <v>452</v>
      </c>
      <c r="B9" s="122" t="s">
        <v>416</v>
      </c>
      <c r="C9" s="122" t="s">
        <v>674</v>
      </c>
      <c r="D9" s="122" t="s">
        <v>678</v>
      </c>
      <c r="E9" s="227" t="s">
        <v>418</v>
      </c>
      <c r="F9" s="227" t="s">
        <v>690</v>
      </c>
      <c r="G9" s="224">
        <v>6.4</v>
      </c>
      <c r="H9" s="121"/>
      <c r="I9" s="121" t="s">
        <v>452</v>
      </c>
      <c r="J9" s="152" t="s">
        <v>417</v>
      </c>
    </row>
    <row r="10" spans="1:10" s="225" customFormat="1" ht="108.75" customHeight="1" x14ac:dyDescent="0.2">
      <c r="A10" s="151" t="s">
        <v>454</v>
      </c>
      <c r="B10" s="122" t="s">
        <v>453</v>
      </c>
      <c r="C10" s="122" t="s">
        <v>674</v>
      </c>
      <c r="D10" s="122" t="s">
        <v>678</v>
      </c>
      <c r="E10" s="228" t="s">
        <v>456</v>
      </c>
      <c r="F10" s="227" t="s">
        <v>690</v>
      </c>
      <c r="G10" s="224">
        <v>3.1</v>
      </c>
      <c r="H10" s="121"/>
      <c r="I10" s="121"/>
      <c r="J10" s="229" t="s">
        <v>455</v>
      </c>
    </row>
    <row r="11" spans="1:10" s="225" customFormat="1" ht="114" customHeight="1" x14ac:dyDescent="0.2">
      <c r="A11" s="151" t="s">
        <v>458</v>
      </c>
      <c r="B11" s="122" t="s">
        <v>457</v>
      </c>
      <c r="C11" s="122" t="s">
        <v>674</v>
      </c>
      <c r="D11" s="122"/>
      <c r="E11" s="228" t="s">
        <v>460</v>
      </c>
      <c r="F11" s="227" t="s">
        <v>690</v>
      </c>
      <c r="G11" s="224">
        <v>4.2</v>
      </c>
      <c r="H11" s="121"/>
      <c r="I11" s="121"/>
      <c r="J11" s="230" t="s">
        <v>459</v>
      </c>
    </row>
    <row r="12" spans="1:10" s="225" customFormat="1" ht="47.25" customHeight="1" x14ac:dyDescent="0.2">
      <c r="A12" s="151"/>
      <c r="B12" s="122"/>
      <c r="C12" s="122"/>
      <c r="D12" s="122"/>
      <c r="E12" s="228"/>
      <c r="F12" s="228"/>
      <c r="G12" s="224"/>
      <c r="H12" s="121"/>
      <c r="I12" s="121"/>
      <c r="J12" s="230"/>
    </row>
    <row r="13" spans="1:10" s="225" customFormat="1" ht="47.25" customHeight="1" x14ac:dyDescent="0.2">
      <c r="A13" s="151"/>
      <c r="B13" s="122"/>
      <c r="C13" s="122"/>
      <c r="D13" s="122"/>
      <c r="E13" s="228"/>
      <c r="F13" s="228"/>
      <c r="G13" s="224"/>
      <c r="H13" s="121"/>
      <c r="I13" s="121"/>
      <c r="J13" s="230"/>
    </row>
    <row r="14" spans="1:10" s="225" customFormat="1" ht="47.25" customHeight="1" x14ac:dyDescent="0.2">
      <c r="A14" s="153"/>
      <c r="B14" s="154"/>
      <c r="C14" s="154"/>
      <c r="D14" s="154"/>
      <c r="E14" s="231"/>
      <c r="F14" s="231"/>
      <c r="G14" s="226"/>
      <c r="H14" s="155"/>
      <c r="I14" s="155"/>
      <c r="J14" s="232"/>
    </row>
    <row r="15" spans="1:10" x14ac:dyDescent="0.2">
      <c r="A15" s="151"/>
      <c r="B15" s="122"/>
      <c r="C15" s="122"/>
      <c r="D15" s="122"/>
      <c r="E15" s="228"/>
      <c r="F15" s="228"/>
      <c r="G15" s="224"/>
      <c r="H15" s="121"/>
      <c r="I15" s="121"/>
      <c r="J15" s="230"/>
    </row>
  </sheetData>
  <mergeCells count="3">
    <mergeCell ref="A3:E3"/>
    <mergeCell ref="F3:J3"/>
    <mergeCell ref="A4:J4"/>
  </mergeCells>
  <dataValidations count="5">
    <dataValidation type="list" allowBlank="1" showInputMessage="1" showErrorMessage="1" sqref="A6" xr:uid="{00000000-0002-0000-1700-000000000000}">
      <formula1>ID_System</formula1>
    </dataValidation>
    <dataValidation type="list" allowBlank="1" showInputMessage="1" showErrorMessage="1" sqref="H8:I15" xr:uid="{00000000-0002-0000-1700-000001000000}">
      <formula1>ID_Vulnerability</formula1>
    </dataValidation>
    <dataValidation type="list" allowBlank="1" showInputMessage="1" showErrorMessage="1" sqref="C8:C15 D7" xr:uid="{00000000-0002-0000-1700-000002000000}">
      <formula1>N_VulnerabilityType</formula1>
    </dataValidation>
    <dataValidation type="list" allowBlank="1" showInputMessage="1" showErrorMessage="1" sqref="F8:F15" xr:uid="{00000000-0002-0000-1700-000003000000}">
      <formula1>N_VulnerabilityAttackVector</formula1>
    </dataValidation>
    <dataValidation type="list" errorStyle="warning" allowBlank="1" showInputMessage="1" showErrorMessage="1" sqref="D8:D15" xr:uid="{00000000-0002-0000-1700-000004000000}">
      <formula1>N_VulnerabilitySubType</formula1>
    </dataValidation>
  </dataValidations>
  <hyperlinks>
    <hyperlink ref="A1" location="index!A1" display="Back to Index" xr:uid="{00000000-0004-0000-1700-000000000000}"/>
  </hyperlinks>
  <pageMargins left="0.7" right="0.7" top="0.75" bottom="0.75" header="0.3" footer="0.3"/>
  <pageSetup paperSize="9" orientation="portrait" r:id="rId1"/>
  <ignoredErrors>
    <ignoredError sqref="D7" listDataValidation="1"/>
  </ignoredErrors>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tabColor rgb="FF99FF33"/>
  </sheetPr>
  <dimension ref="A1:F20"/>
  <sheetViews>
    <sheetView workbookViewId="0"/>
  </sheetViews>
  <sheetFormatPr baseColWidth="10" defaultColWidth="8.83203125" defaultRowHeight="15" x14ac:dyDescent="0.2"/>
  <cols>
    <col min="1" max="1" width="14" customWidth="1"/>
    <col min="2" max="2" width="21" customWidth="1"/>
    <col min="3" max="3" width="17.5" customWidth="1"/>
    <col min="4" max="4" width="29.83203125" customWidth="1"/>
    <col min="5" max="5" width="15.1640625" customWidth="1"/>
    <col min="6" max="6" width="85" customWidth="1"/>
  </cols>
  <sheetData>
    <row r="1" spans="1:6" x14ac:dyDescent="0.2">
      <c r="A1" s="6" t="s">
        <v>13</v>
      </c>
      <c r="B1" s="6"/>
    </row>
    <row r="2" spans="1:6" ht="7.5" customHeight="1" x14ac:dyDescent="0.2">
      <c r="A2" s="6"/>
      <c r="B2" s="6"/>
    </row>
    <row r="3" spans="1:6" ht="23.25" customHeight="1" x14ac:dyDescent="0.3">
      <c r="A3" s="20" t="str">
        <f>Index!A1</f>
        <v>Online Boutique Requirements Specification</v>
      </c>
      <c r="B3" s="20"/>
      <c r="C3" s="7"/>
      <c r="D3" s="7"/>
      <c r="E3" s="8"/>
      <c r="F3" s="17"/>
    </row>
    <row r="4" spans="1:6" ht="24" x14ac:dyDescent="0.3">
      <c r="A4" s="317" t="s">
        <v>750</v>
      </c>
      <c r="B4" s="317"/>
      <c r="C4" s="317"/>
      <c r="D4" s="317"/>
      <c r="E4" s="317"/>
      <c r="F4" s="317"/>
    </row>
    <row r="5" spans="1:6" ht="34.5" customHeight="1" x14ac:dyDescent="0.2"/>
    <row r="6" spans="1:6" ht="31.5" customHeight="1" x14ac:dyDescent="0.2">
      <c r="A6" s="393" t="s">
        <v>751</v>
      </c>
      <c r="B6" s="394"/>
      <c r="C6" s="394"/>
      <c r="D6" s="395"/>
      <c r="E6" s="130"/>
      <c r="F6" s="130"/>
    </row>
    <row r="7" spans="1:6" ht="17" x14ac:dyDescent="0.2">
      <c r="A7" s="391" t="s">
        <v>38</v>
      </c>
      <c r="B7" s="392"/>
      <c r="C7" s="391" t="s">
        <v>39</v>
      </c>
      <c r="D7" s="392"/>
      <c r="E7" s="131" t="s">
        <v>752</v>
      </c>
      <c r="F7" s="131"/>
    </row>
    <row r="8" spans="1:6" ht="17" x14ac:dyDescent="0.2">
      <c r="A8" s="162" t="s">
        <v>0</v>
      </c>
      <c r="B8" s="163" t="s">
        <v>1</v>
      </c>
      <c r="C8" s="163" t="s">
        <v>461</v>
      </c>
      <c r="D8" s="146" t="s">
        <v>463</v>
      </c>
      <c r="E8" s="239" t="s">
        <v>22</v>
      </c>
      <c r="F8" s="165" t="s">
        <v>2</v>
      </c>
    </row>
    <row r="9" spans="1:6" ht="18.75" customHeight="1" x14ac:dyDescent="0.2">
      <c r="A9" s="156" t="s">
        <v>367</v>
      </c>
      <c r="B9" s="107" t="s">
        <v>368</v>
      </c>
      <c r="C9" s="107" t="s">
        <v>369</v>
      </c>
      <c r="D9" s="107" t="s">
        <v>370</v>
      </c>
      <c r="E9" s="106" t="s">
        <v>83</v>
      </c>
      <c r="F9" s="157" t="s">
        <v>170</v>
      </c>
    </row>
    <row r="10" spans="1:6" ht="18.75" customHeight="1" x14ac:dyDescent="0.2">
      <c r="A10" s="156"/>
      <c r="B10" s="107"/>
      <c r="C10" s="107"/>
      <c r="D10" s="107"/>
      <c r="E10" s="106"/>
      <c r="F10" s="157"/>
    </row>
    <row r="11" spans="1:6" ht="18.75" customHeight="1" x14ac:dyDescent="0.2">
      <c r="A11" s="156"/>
      <c r="B11" s="107"/>
      <c r="C11" s="107"/>
      <c r="D11" s="107"/>
      <c r="E11" s="106"/>
      <c r="F11" s="157"/>
    </row>
    <row r="12" spans="1:6" ht="18.75" customHeight="1" x14ac:dyDescent="0.2">
      <c r="A12" s="156"/>
      <c r="B12" s="107"/>
      <c r="C12" s="107"/>
      <c r="D12" s="107"/>
      <c r="E12" s="106"/>
      <c r="F12" s="157"/>
    </row>
    <row r="13" spans="1:6" ht="18.75" customHeight="1" x14ac:dyDescent="0.2">
      <c r="A13" s="156"/>
      <c r="B13" s="107"/>
      <c r="C13" s="107"/>
      <c r="D13" s="107"/>
      <c r="E13" s="106"/>
      <c r="F13" s="157"/>
    </row>
    <row r="14" spans="1:6" ht="18.75" customHeight="1" x14ac:dyDescent="0.2">
      <c r="A14" s="156"/>
      <c r="B14" s="107"/>
      <c r="C14" s="107"/>
      <c r="D14" s="107"/>
      <c r="E14" s="106"/>
      <c r="F14" s="157"/>
    </row>
    <row r="15" spans="1:6" ht="18.75" customHeight="1" x14ac:dyDescent="0.2">
      <c r="A15" s="156"/>
      <c r="B15" s="107"/>
      <c r="C15" s="107"/>
      <c r="D15" s="107"/>
      <c r="E15" s="106"/>
      <c r="F15" s="157"/>
    </row>
    <row r="16" spans="1:6" ht="18.75" customHeight="1" x14ac:dyDescent="0.2">
      <c r="A16" s="156"/>
      <c r="B16" s="107"/>
      <c r="C16" s="107"/>
      <c r="D16" s="107"/>
      <c r="E16" s="106"/>
      <c r="F16" s="157"/>
    </row>
    <row r="17" spans="1:6" ht="18.75" customHeight="1" x14ac:dyDescent="0.2">
      <c r="A17" s="156"/>
      <c r="B17" s="107"/>
      <c r="C17" s="107"/>
      <c r="D17" s="107"/>
      <c r="E17" s="106"/>
      <c r="F17" s="157"/>
    </row>
    <row r="18" spans="1:6" ht="18.75" customHeight="1" x14ac:dyDescent="0.2">
      <c r="A18" s="156"/>
      <c r="B18" s="107"/>
      <c r="C18" s="107"/>
      <c r="D18" s="107"/>
      <c r="E18" s="106"/>
      <c r="F18" s="157"/>
    </row>
    <row r="19" spans="1:6" ht="18.75" customHeight="1" x14ac:dyDescent="0.2">
      <c r="A19" s="156"/>
      <c r="B19" s="107"/>
      <c r="C19" s="107"/>
      <c r="D19" s="107"/>
      <c r="E19" s="106"/>
      <c r="F19" s="157"/>
    </row>
    <row r="20" spans="1:6" ht="18.75" customHeight="1" x14ac:dyDescent="0.2">
      <c r="A20" s="158"/>
      <c r="B20" s="159"/>
      <c r="C20" s="159"/>
      <c r="D20" s="159"/>
      <c r="E20" s="160"/>
      <c r="F20" s="161"/>
    </row>
  </sheetData>
  <mergeCells count="4">
    <mergeCell ref="C7:D7"/>
    <mergeCell ref="A7:B7"/>
    <mergeCell ref="A6:D6"/>
    <mergeCell ref="A4:F4"/>
  </mergeCells>
  <dataValidations count="1">
    <dataValidation type="list" allowBlank="1" showInputMessage="1" showErrorMessage="1" sqref="E9:E20" xr:uid="{00000000-0002-0000-1800-000000000000}">
      <formula1>N_RelationType</formula1>
    </dataValidation>
  </dataValidations>
  <hyperlinks>
    <hyperlink ref="A1" location="index!A1" display="Back to Index" xr:uid="{00000000-0004-0000-1800-000000000000}"/>
  </hyperlinks>
  <pageMargins left="0.7" right="0.7" top="0.75" bottom="0.75" header="0.3" footer="0.3"/>
  <pageSetup paperSize="9" orientation="portrait"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tabColor rgb="FF99FF33"/>
  </sheetPr>
  <dimension ref="A1:E18"/>
  <sheetViews>
    <sheetView workbookViewId="0"/>
  </sheetViews>
  <sheetFormatPr baseColWidth="10" defaultColWidth="8.83203125" defaultRowHeight="15" x14ac:dyDescent="0.2"/>
  <cols>
    <col min="1" max="1" width="14.33203125" customWidth="1"/>
    <col min="2" max="2" width="18" customWidth="1"/>
    <col min="3" max="3" width="17.1640625" customWidth="1"/>
    <col min="4" max="4" width="18.83203125" customWidth="1"/>
    <col min="5" max="5" width="85" customWidth="1"/>
  </cols>
  <sheetData>
    <row r="1" spans="1:5" x14ac:dyDescent="0.2">
      <c r="A1" s="6" t="s">
        <v>13</v>
      </c>
    </row>
    <row r="2" spans="1:5" ht="7.5" customHeight="1" x14ac:dyDescent="0.2">
      <c r="A2" s="6"/>
    </row>
    <row r="3" spans="1:5" ht="23.25" customHeight="1" x14ac:dyDescent="0.3">
      <c r="A3" s="20" t="str">
        <f>Index!A1</f>
        <v>Online Boutique Requirements Specification</v>
      </c>
      <c r="B3" s="7"/>
      <c r="C3" s="8"/>
      <c r="D3" s="8"/>
      <c r="E3" s="17"/>
    </row>
    <row r="4" spans="1:5" ht="24" x14ac:dyDescent="0.3">
      <c r="A4" s="317" t="s">
        <v>73</v>
      </c>
      <c r="B4" s="317"/>
      <c r="C4" s="317"/>
      <c r="D4" s="317"/>
      <c r="E4" s="317"/>
    </row>
    <row r="5" spans="1:5" ht="16.5" customHeight="1" x14ac:dyDescent="0.2"/>
    <row r="6" spans="1:5" ht="25.5" customHeight="1" x14ac:dyDescent="0.2">
      <c r="A6" s="348" t="s">
        <v>37</v>
      </c>
      <c r="B6" s="350"/>
      <c r="C6" s="132" t="s">
        <v>464</v>
      </c>
      <c r="D6" s="132" t="s">
        <v>466</v>
      </c>
      <c r="E6" s="132"/>
    </row>
    <row r="7" spans="1:5" ht="17" x14ac:dyDescent="0.2">
      <c r="A7" s="240" t="s">
        <v>38</v>
      </c>
      <c r="B7" s="241" t="s">
        <v>39</v>
      </c>
      <c r="C7" s="242" t="s">
        <v>465</v>
      </c>
      <c r="D7" s="242" t="s">
        <v>467</v>
      </c>
      <c r="E7" s="168" t="s">
        <v>2</v>
      </c>
    </row>
    <row r="8" spans="1:5" ht="22.5" customHeight="1" x14ac:dyDescent="0.2">
      <c r="A8" s="138" t="s">
        <v>579</v>
      </c>
      <c r="B8" s="55" t="s">
        <v>580</v>
      </c>
      <c r="C8" s="106" t="s">
        <v>84</v>
      </c>
      <c r="D8" s="106" t="s">
        <v>82</v>
      </c>
      <c r="E8" s="166" t="s">
        <v>170</v>
      </c>
    </row>
    <row r="9" spans="1:5" ht="22.5" customHeight="1" x14ac:dyDescent="0.2">
      <c r="A9" s="138"/>
      <c r="B9" s="55"/>
      <c r="C9" s="106"/>
      <c r="D9" s="106"/>
      <c r="E9" s="166"/>
    </row>
    <row r="10" spans="1:5" ht="22.5" customHeight="1" x14ac:dyDescent="0.2">
      <c r="A10" s="138"/>
      <c r="B10" s="55"/>
      <c r="C10" s="106"/>
      <c r="D10" s="106"/>
      <c r="E10" s="166"/>
    </row>
    <row r="11" spans="1:5" ht="22.5" customHeight="1" x14ac:dyDescent="0.2">
      <c r="A11" s="138"/>
      <c r="B11" s="55"/>
      <c r="C11" s="106"/>
      <c r="D11" s="106"/>
      <c r="E11" s="166"/>
    </row>
    <row r="12" spans="1:5" ht="22.5" customHeight="1" x14ac:dyDescent="0.2">
      <c r="A12" s="138"/>
      <c r="B12" s="55"/>
      <c r="C12" s="106"/>
      <c r="D12" s="106"/>
      <c r="E12" s="166"/>
    </row>
    <row r="13" spans="1:5" ht="22.5" customHeight="1" x14ac:dyDescent="0.2">
      <c r="A13" s="138"/>
      <c r="B13" s="55"/>
      <c r="C13" s="106"/>
      <c r="D13" s="106"/>
      <c r="E13" s="166"/>
    </row>
    <row r="14" spans="1:5" ht="22.5" customHeight="1" x14ac:dyDescent="0.2">
      <c r="A14" s="138"/>
      <c r="B14" s="55"/>
      <c r="C14" s="106"/>
      <c r="D14" s="106"/>
      <c r="E14" s="166"/>
    </row>
    <row r="15" spans="1:5" ht="22.5" customHeight="1" x14ac:dyDescent="0.2">
      <c r="A15" s="138"/>
      <c r="B15" s="55"/>
      <c r="C15" s="106"/>
      <c r="D15" s="106"/>
      <c r="E15" s="166"/>
    </row>
    <row r="16" spans="1:5" ht="22.5" customHeight="1" x14ac:dyDescent="0.2">
      <c r="A16" s="138"/>
      <c r="B16" s="55"/>
      <c r="C16" s="106"/>
      <c r="D16" s="106"/>
      <c r="E16" s="166"/>
    </row>
    <row r="17" spans="1:5" ht="22.5" customHeight="1" x14ac:dyDescent="0.2">
      <c r="A17" s="138"/>
      <c r="B17" s="55"/>
      <c r="C17" s="106"/>
      <c r="D17" s="106"/>
      <c r="E17" s="166"/>
    </row>
    <row r="18" spans="1:5" ht="22.5" customHeight="1" x14ac:dyDescent="0.2">
      <c r="A18" s="139"/>
      <c r="B18" s="140"/>
      <c r="C18" s="160"/>
      <c r="D18" s="160"/>
      <c r="E18" s="167"/>
    </row>
  </sheetData>
  <mergeCells count="2">
    <mergeCell ref="A4:E4"/>
    <mergeCell ref="A6:B6"/>
  </mergeCells>
  <dataValidations count="3">
    <dataValidation type="list" allowBlank="1" showInputMessage="1" showErrorMessage="1" sqref="D8:D18" xr:uid="{00000000-0002-0000-1900-000000000000}">
      <formula1>N_SystemsRelationCategory</formula1>
    </dataValidation>
    <dataValidation type="list" allowBlank="1" showInputMessage="1" showErrorMessage="1" sqref="C8:C18" xr:uid="{00000000-0002-0000-1900-000001000000}">
      <formula1>N_RelationType</formula1>
    </dataValidation>
    <dataValidation type="list" allowBlank="1" showInputMessage="1" showErrorMessage="1" sqref="A8:A18 B8:B18" xr:uid="{00000000-0002-0000-1900-000002000000}">
      <formula1>ID_System</formula1>
    </dataValidation>
  </dataValidations>
  <hyperlinks>
    <hyperlink ref="A1" location="index!A1" display="Back to Index" xr:uid="{00000000-0004-0000-1900-000000000000}"/>
  </hyperlinks>
  <pageMargins left="0.7" right="0.7" top="0.75" bottom="0.75" header="0.3" footer="0.3"/>
  <pageSetup paperSize="9" orientation="portrait"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tabColor rgb="FF99FF33"/>
  </sheetPr>
  <dimension ref="A1:F16"/>
  <sheetViews>
    <sheetView workbookViewId="0"/>
  </sheetViews>
  <sheetFormatPr baseColWidth="10" defaultColWidth="8.83203125" defaultRowHeight="15" x14ac:dyDescent="0.2"/>
  <cols>
    <col min="1" max="1" width="12.5" customWidth="1"/>
    <col min="2" max="2" width="23" customWidth="1"/>
    <col min="3" max="3" width="14.1640625" customWidth="1"/>
    <col min="4" max="4" width="27.5" customWidth="1"/>
    <col min="5" max="5" width="12.33203125" customWidth="1"/>
    <col min="6" max="6" width="85" customWidth="1"/>
  </cols>
  <sheetData>
    <row r="1" spans="1:6" x14ac:dyDescent="0.2">
      <c r="A1" s="6" t="s">
        <v>13</v>
      </c>
      <c r="B1" s="6"/>
    </row>
    <row r="2" spans="1:6" ht="7.5" customHeight="1" x14ac:dyDescent="0.2">
      <c r="A2" s="6"/>
      <c r="B2" s="6"/>
    </row>
    <row r="3" spans="1:6" ht="23.25" customHeight="1" x14ac:dyDescent="0.3">
      <c r="A3" s="20" t="str">
        <f>Index!A1</f>
        <v>Online Boutique Requirements Specification</v>
      </c>
      <c r="B3" s="20"/>
      <c r="C3" s="7"/>
      <c r="D3" s="7"/>
      <c r="E3" s="8"/>
      <c r="F3" s="17"/>
    </row>
    <row r="4" spans="1:6" ht="24" x14ac:dyDescent="0.3">
      <c r="A4" s="317" t="s">
        <v>72</v>
      </c>
      <c r="B4" s="317"/>
      <c r="C4" s="317"/>
      <c r="D4" s="317"/>
      <c r="E4" s="317"/>
      <c r="F4" s="317"/>
    </row>
    <row r="5" spans="1:6" ht="34.5" customHeight="1" x14ac:dyDescent="0.2"/>
    <row r="6" spans="1:6" ht="15.75" customHeight="1" x14ac:dyDescent="0.2">
      <c r="A6" s="33" t="s">
        <v>579</v>
      </c>
    </row>
    <row r="7" spans="1:6" ht="31.5" customHeight="1" x14ac:dyDescent="0.2">
      <c r="A7" s="396" t="s">
        <v>275</v>
      </c>
      <c r="B7" s="397"/>
      <c r="C7" s="397"/>
      <c r="D7" s="398"/>
      <c r="E7" s="130" t="s">
        <v>490</v>
      </c>
      <c r="F7" s="130"/>
    </row>
    <row r="8" spans="1:6" ht="17" x14ac:dyDescent="0.2">
      <c r="A8" s="399" t="s">
        <v>38</v>
      </c>
      <c r="B8" s="399"/>
      <c r="C8" s="399" t="s">
        <v>39</v>
      </c>
      <c r="D8" s="399"/>
      <c r="E8" s="131" t="s">
        <v>468</v>
      </c>
      <c r="F8" s="131"/>
    </row>
    <row r="9" spans="1:6" ht="17" x14ac:dyDescent="0.2">
      <c r="A9" s="162" t="s">
        <v>0</v>
      </c>
      <c r="B9" s="163" t="s">
        <v>1</v>
      </c>
      <c r="C9" s="163" t="s">
        <v>461</v>
      </c>
      <c r="D9" s="146" t="s">
        <v>462</v>
      </c>
      <c r="E9" s="239" t="s">
        <v>22</v>
      </c>
      <c r="F9" s="189" t="s">
        <v>2</v>
      </c>
    </row>
    <row r="10" spans="1:6" ht="18.75" customHeight="1" x14ac:dyDescent="0.2">
      <c r="A10" s="156"/>
      <c r="B10" s="107" t="s">
        <v>278</v>
      </c>
      <c r="C10" s="107" t="s">
        <v>276</v>
      </c>
      <c r="D10" s="107" t="s">
        <v>277</v>
      </c>
      <c r="E10" s="106" t="s">
        <v>84</v>
      </c>
      <c r="F10" s="157" t="s">
        <v>170</v>
      </c>
    </row>
    <row r="11" spans="1:6" ht="18.75" customHeight="1" x14ac:dyDescent="0.2">
      <c r="A11" s="156"/>
      <c r="B11" s="107"/>
      <c r="C11" s="107"/>
      <c r="D11" s="107"/>
      <c r="E11" s="106"/>
      <c r="F11" s="157"/>
    </row>
    <row r="12" spans="1:6" ht="18.75" customHeight="1" x14ac:dyDescent="0.2">
      <c r="A12" s="156"/>
      <c r="B12" s="107"/>
      <c r="C12" s="107"/>
      <c r="D12" s="107"/>
      <c r="E12" s="106"/>
      <c r="F12" s="157"/>
    </row>
    <row r="13" spans="1:6" ht="18.75" customHeight="1" x14ac:dyDescent="0.2">
      <c r="A13" s="156"/>
      <c r="B13" s="107"/>
      <c r="C13" s="107"/>
      <c r="D13" s="107"/>
      <c r="E13" s="106"/>
      <c r="F13" s="157"/>
    </row>
    <row r="14" spans="1:6" ht="18.75" customHeight="1" x14ac:dyDescent="0.2">
      <c r="A14" s="156"/>
      <c r="B14" s="107"/>
      <c r="C14" s="107"/>
      <c r="D14" s="107"/>
      <c r="E14" s="106"/>
      <c r="F14" s="157"/>
    </row>
    <row r="15" spans="1:6" ht="18.75" customHeight="1" x14ac:dyDescent="0.2">
      <c r="A15" s="156"/>
      <c r="B15" s="107"/>
      <c r="C15" s="107"/>
      <c r="D15" s="107"/>
      <c r="E15" s="106"/>
      <c r="F15" s="157"/>
    </row>
    <row r="16" spans="1:6" ht="18.75" customHeight="1" x14ac:dyDescent="0.2">
      <c r="A16" s="158"/>
      <c r="B16" s="159"/>
      <c r="C16" s="159"/>
      <c r="D16" s="159"/>
      <c r="E16" s="160"/>
      <c r="F16" s="161"/>
    </row>
  </sheetData>
  <dataConsolidate/>
  <mergeCells count="4">
    <mergeCell ref="A4:F4"/>
    <mergeCell ref="A7:D7"/>
    <mergeCell ref="A8:B8"/>
    <mergeCell ref="C8:D8"/>
  </mergeCells>
  <dataValidations count="2">
    <dataValidation type="list" allowBlank="1" showInputMessage="1" showErrorMessage="1" sqref="E10:E16" xr:uid="{00000000-0002-0000-1A00-000000000000}">
      <formula1>N_RelationType</formula1>
    </dataValidation>
    <dataValidation type="list" allowBlank="1" showInputMessage="1" showErrorMessage="1" sqref="A6" xr:uid="{00000000-0002-0000-1A00-000001000000}">
      <formula1>ID_System</formula1>
    </dataValidation>
  </dataValidations>
  <hyperlinks>
    <hyperlink ref="A1" location="index!A1" display="Back to Index" xr:uid="{00000000-0004-0000-1A00-000000000000}"/>
  </hyperlinks>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
    <tabColor theme="8" tint="0.39997558519241921"/>
  </sheetPr>
  <dimension ref="A1:E16"/>
  <sheetViews>
    <sheetView workbookViewId="0"/>
  </sheetViews>
  <sheetFormatPr baseColWidth="10" defaultColWidth="8.83203125" defaultRowHeight="15" x14ac:dyDescent="0.2"/>
  <cols>
    <col min="1" max="1" width="134.5" customWidth="1"/>
    <col min="2" max="2" width="38.6640625" customWidth="1"/>
    <col min="4" max="4" width="4.5" customWidth="1"/>
    <col min="5" max="5" width="9.1640625" hidden="1" customWidth="1"/>
  </cols>
  <sheetData>
    <row r="1" spans="1:5" ht="24" x14ac:dyDescent="0.3">
      <c r="A1" s="10" t="s">
        <v>759</v>
      </c>
      <c r="E1" s="8"/>
    </row>
    <row r="3" spans="1:5" ht="77.25" customHeight="1" x14ac:dyDescent="0.2">
      <c r="A3" s="44" t="s">
        <v>491</v>
      </c>
    </row>
    <row r="4" spans="1:5" ht="24" x14ac:dyDescent="0.2">
      <c r="A4" s="34" t="s">
        <v>492</v>
      </c>
    </row>
    <row r="6" spans="1:5" x14ac:dyDescent="0.2">
      <c r="A6" s="45" t="s">
        <v>115</v>
      </c>
    </row>
    <row r="7" spans="1:5" ht="66" customHeight="1" x14ac:dyDescent="0.2">
      <c r="A7" s="44" t="s">
        <v>493</v>
      </c>
    </row>
    <row r="8" spans="1:5" x14ac:dyDescent="0.2">
      <c r="A8" s="45" t="s">
        <v>2</v>
      </c>
    </row>
    <row r="9" spans="1:5" ht="153.75" customHeight="1" x14ac:dyDescent="0.2">
      <c r="A9" s="44" t="s">
        <v>494</v>
      </c>
    </row>
    <row r="10" spans="1:5" x14ac:dyDescent="0.2">
      <c r="A10" s="45" t="s">
        <v>159</v>
      </c>
    </row>
    <row r="11" spans="1:5" ht="51.75" customHeight="1" x14ac:dyDescent="0.2">
      <c r="A11" s="44" t="s">
        <v>263</v>
      </c>
    </row>
    <row r="12" spans="1:5" ht="15" customHeight="1" x14ac:dyDescent="0.2">
      <c r="A12" s="45" t="s">
        <v>116</v>
      </c>
    </row>
    <row r="13" spans="1:5" ht="328.5" customHeight="1" x14ac:dyDescent="0.2">
      <c r="A13" s="44" t="s">
        <v>264</v>
      </c>
    </row>
    <row r="14" spans="1:5" x14ac:dyDescent="0.2">
      <c r="A14" s="45" t="s">
        <v>117</v>
      </c>
    </row>
    <row r="15" spans="1:5" ht="36.75" customHeight="1" x14ac:dyDescent="0.2">
      <c r="A15" s="44" t="s">
        <v>760</v>
      </c>
    </row>
    <row r="16" spans="1:5" x14ac:dyDescent="0.2">
      <c r="A16" s="35"/>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olha3"/>
  <dimension ref="A1:BJ57"/>
  <sheetViews>
    <sheetView topLeftCell="X2" zoomScale="150" workbookViewId="0">
      <selection activeCell="H7" sqref="H7"/>
    </sheetView>
  </sheetViews>
  <sheetFormatPr baseColWidth="10" defaultColWidth="9.1640625" defaultRowHeight="15" x14ac:dyDescent="0.2"/>
  <cols>
    <col min="1" max="1" width="22.83203125" customWidth="1"/>
    <col min="2" max="2" width="31.6640625" customWidth="1"/>
    <col min="3" max="3" width="21.5" customWidth="1"/>
    <col min="4" max="4" width="16.5" customWidth="1"/>
    <col min="5" max="5" width="18.5" customWidth="1"/>
    <col min="6" max="6" width="20.5" customWidth="1"/>
    <col min="7" max="7" width="28" customWidth="1"/>
    <col min="8" max="9" width="24.1640625" customWidth="1"/>
    <col min="10" max="10" width="14.1640625" customWidth="1"/>
    <col min="11" max="11" width="23.83203125" customWidth="1"/>
    <col min="12" max="12" width="17.6640625" customWidth="1"/>
    <col min="13" max="13" width="13" customWidth="1"/>
    <col min="14" max="14" width="22.5" customWidth="1"/>
    <col min="15" max="15" width="21.5" customWidth="1"/>
    <col min="16" max="16" width="21.33203125" customWidth="1"/>
    <col min="17" max="17" width="17.83203125" customWidth="1"/>
    <col min="18" max="18" width="9.83203125" customWidth="1"/>
    <col min="19" max="19" width="21.33203125" customWidth="1"/>
    <col min="20" max="20" width="38.5" customWidth="1"/>
    <col min="21" max="21" width="21.33203125" customWidth="1"/>
    <col min="22" max="22" width="10.5" customWidth="1"/>
    <col min="23" max="23" width="21.33203125" customWidth="1"/>
    <col min="24" max="25" width="34.5" customWidth="1"/>
    <col min="26" max="26" width="12.6640625" customWidth="1"/>
    <col min="27" max="31" width="21.33203125" customWidth="1"/>
    <col min="32" max="32" width="23.1640625" customWidth="1"/>
    <col min="33" max="33" width="9.83203125" customWidth="1"/>
    <col min="34" max="34" width="12.5" customWidth="1"/>
    <col min="35" max="35" width="16" customWidth="1"/>
    <col min="36" max="36" width="34.1640625" customWidth="1"/>
    <col min="37" max="37" width="15" customWidth="1"/>
    <col min="38" max="38" width="34.1640625" customWidth="1"/>
    <col min="39" max="39" width="20.5" customWidth="1"/>
    <col min="40" max="40" width="25.1640625" customWidth="1"/>
    <col min="41" max="42" width="20.1640625" customWidth="1"/>
    <col min="43" max="44" width="27.1640625" customWidth="1"/>
    <col min="45" max="45" width="19.1640625" customWidth="1"/>
    <col min="46" max="46" width="25.5" customWidth="1"/>
    <col min="47" max="47" width="30" customWidth="1"/>
    <col min="49" max="49" width="13.6640625" customWidth="1"/>
    <col min="50" max="50" width="25.5" customWidth="1"/>
    <col min="51" max="51" width="25.1640625" customWidth="1"/>
    <col min="52" max="52" width="17.83203125" customWidth="1"/>
    <col min="53" max="53" width="23" customWidth="1"/>
    <col min="54" max="54" width="27.5" customWidth="1"/>
    <col min="55" max="55" width="32.5" customWidth="1"/>
    <col min="57" max="57" width="13.83203125" customWidth="1"/>
    <col min="58" max="58" width="16.1640625" customWidth="1"/>
    <col min="61" max="61" width="25.6640625" customWidth="1"/>
    <col min="62" max="62" width="21.33203125" customWidth="1"/>
  </cols>
  <sheetData>
    <row r="1" spans="1:62" ht="23.25" customHeight="1" x14ac:dyDescent="0.3">
      <c r="A1" s="404" t="str">
        <f>Index!A1</f>
        <v>Online Boutique Requirements Specification</v>
      </c>
      <c r="B1" s="404"/>
      <c r="C1" s="404"/>
      <c r="D1" s="137"/>
      <c r="E1" s="137"/>
      <c r="F1" s="137"/>
      <c r="G1" s="137"/>
      <c r="H1" s="137"/>
      <c r="I1" s="137"/>
      <c r="J1" s="137"/>
      <c r="K1" s="137"/>
      <c r="L1" s="137"/>
    </row>
    <row r="2" spans="1:62" ht="24" x14ac:dyDescent="0.3">
      <c r="A2" s="405" t="s">
        <v>556</v>
      </c>
      <c r="B2" s="405"/>
      <c r="C2" s="405"/>
      <c r="D2" s="137"/>
      <c r="E2" s="137"/>
      <c r="F2" s="137"/>
      <c r="G2" s="137"/>
      <c r="H2" s="137"/>
      <c r="I2" s="137"/>
      <c r="J2" s="137"/>
      <c r="K2" s="137"/>
      <c r="L2" s="137"/>
    </row>
    <row r="3" spans="1:62" ht="34.5" customHeight="1" x14ac:dyDescent="0.2">
      <c r="A3" s="315" t="s">
        <v>555</v>
      </c>
      <c r="B3" s="315"/>
      <c r="C3" s="315"/>
      <c r="D3" s="315"/>
      <c r="E3" s="315"/>
    </row>
    <row r="4" spans="1:62" ht="21.75" customHeight="1" x14ac:dyDescent="0.2">
      <c r="A4" s="24"/>
      <c r="B4" s="24"/>
      <c r="C4" s="24"/>
      <c r="D4" s="24"/>
      <c r="E4" s="24"/>
    </row>
    <row r="5" spans="1:62" ht="22.5" customHeight="1" x14ac:dyDescent="0.2">
      <c r="A5" s="406" t="s">
        <v>558</v>
      </c>
      <c r="B5" s="407"/>
      <c r="C5" s="407"/>
      <c r="D5" s="407"/>
      <c r="E5" s="407"/>
      <c r="F5" s="407"/>
      <c r="G5" s="407"/>
      <c r="H5" s="407"/>
      <c r="I5" s="408"/>
      <c r="K5" s="400" t="s">
        <v>3</v>
      </c>
      <c r="L5" s="400"/>
      <c r="N5" s="400" t="s">
        <v>672</v>
      </c>
      <c r="O5" s="400"/>
      <c r="P5" s="400"/>
      <c r="Q5" s="400"/>
      <c r="S5" s="400" t="s">
        <v>602</v>
      </c>
      <c r="T5" s="400"/>
      <c r="U5" s="400"/>
      <c r="W5" s="400" t="s">
        <v>36</v>
      </c>
      <c r="X5" s="400"/>
      <c r="Y5" s="201"/>
      <c r="AA5" s="402" t="s">
        <v>600</v>
      </c>
      <c r="AB5" s="403"/>
      <c r="AC5" s="403"/>
      <c r="AD5" s="403"/>
      <c r="AE5" s="403"/>
      <c r="AF5" s="403"/>
      <c r="AH5" s="401" t="s">
        <v>651</v>
      </c>
      <c r="AI5" s="401"/>
      <c r="AJ5" s="401"/>
      <c r="AK5" s="401"/>
      <c r="AL5" s="401"/>
      <c r="AM5" s="401"/>
      <c r="AN5" s="401"/>
      <c r="AO5" s="401"/>
      <c r="AP5" s="401"/>
      <c r="AQ5" s="401"/>
      <c r="AR5" s="401"/>
      <c r="AS5" s="401"/>
      <c r="AT5" s="401"/>
      <c r="AU5" s="401"/>
      <c r="AW5" s="401" t="s">
        <v>728</v>
      </c>
      <c r="AX5" s="401"/>
      <c r="AY5" s="401"/>
      <c r="AZ5" s="401"/>
      <c r="BA5" s="401"/>
      <c r="BB5" s="401"/>
      <c r="BC5" s="401"/>
      <c r="BE5" s="401" t="s">
        <v>727</v>
      </c>
      <c r="BF5" s="401"/>
      <c r="BG5" s="400"/>
      <c r="BI5" s="284" t="s">
        <v>800</v>
      </c>
    </row>
    <row r="6" spans="1:62" x14ac:dyDescent="0.2">
      <c r="A6" s="195" t="s">
        <v>557</v>
      </c>
      <c r="B6" s="195" t="s">
        <v>44</v>
      </c>
      <c r="C6" s="195" t="s">
        <v>71</v>
      </c>
      <c r="D6" t="s">
        <v>564</v>
      </c>
      <c r="E6" s="196" t="s">
        <v>32</v>
      </c>
      <c r="F6" s="196" t="s">
        <v>357</v>
      </c>
      <c r="G6" t="s">
        <v>15</v>
      </c>
      <c r="H6" t="s">
        <v>570</v>
      </c>
      <c r="I6" t="s">
        <v>876</v>
      </c>
      <c r="K6" t="s">
        <v>560</v>
      </c>
      <c r="L6" t="s">
        <v>559</v>
      </c>
      <c r="N6" t="s">
        <v>584</v>
      </c>
      <c r="O6" t="s">
        <v>586</v>
      </c>
      <c r="P6" t="s">
        <v>587</v>
      </c>
      <c r="Q6" t="s">
        <v>673</v>
      </c>
      <c r="S6" t="s">
        <v>562</v>
      </c>
      <c r="T6" t="s">
        <v>563</v>
      </c>
      <c r="U6" t="s">
        <v>601</v>
      </c>
      <c r="W6" t="s">
        <v>571</v>
      </c>
      <c r="X6" t="s">
        <v>572</v>
      </c>
      <c r="Y6" t="s">
        <v>753</v>
      </c>
      <c r="AA6" t="s">
        <v>588</v>
      </c>
      <c r="AB6" t="s">
        <v>594</v>
      </c>
      <c r="AC6" t="s">
        <v>596</v>
      </c>
      <c r="AD6" t="s">
        <v>595</v>
      </c>
      <c r="AE6" t="s">
        <v>599</v>
      </c>
      <c r="AF6" t="s">
        <v>791</v>
      </c>
      <c r="AH6" t="s">
        <v>603</v>
      </c>
      <c r="AI6" t="s">
        <v>648</v>
      </c>
      <c r="AJ6" t="s">
        <v>649</v>
      </c>
      <c r="AK6" t="s">
        <v>281</v>
      </c>
      <c r="AL6" t="s">
        <v>650</v>
      </c>
      <c r="AM6" t="s">
        <v>640</v>
      </c>
      <c r="AN6" t="s">
        <v>641</v>
      </c>
      <c r="AO6" t="s">
        <v>644</v>
      </c>
      <c r="AP6" t="s">
        <v>781</v>
      </c>
      <c r="AQ6" t="s">
        <v>646</v>
      </c>
      <c r="AR6" t="s">
        <v>735</v>
      </c>
      <c r="AS6" t="s">
        <v>351</v>
      </c>
      <c r="AT6" t="s">
        <v>346</v>
      </c>
      <c r="AU6" t="s">
        <v>348</v>
      </c>
      <c r="AW6" t="s">
        <v>695</v>
      </c>
      <c r="AX6" t="s">
        <v>696</v>
      </c>
      <c r="AY6" t="s">
        <v>710</v>
      </c>
      <c r="AZ6" t="s">
        <v>715</v>
      </c>
      <c r="BA6" t="s">
        <v>726</v>
      </c>
      <c r="BB6" t="s">
        <v>675</v>
      </c>
      <c r="BC6" t="s">
        <v>689</v>
      </c>
      <c r="BE6" t="s">
        <v>723</v>
      </c>
      <c r="BF6" t="s">
        <v>665</v>
      </c>
      <c r="BI6" s="280" t="s">
        <v>778</v>
      </c>
      <c r="BJ6" s="280" t="s">
        <v>842</v>
      </c>
    </row>
    <row r="7" spans="1:62" x14ac:dyDescent="0.2">
      <c r="A7" t="s">
        <v>191</v>
      </c>
      <c r="B7" t="s">
        <v>48</v>
      </c>
      <c r="C7" t="s">
        <v>150</v>
      </c>
      <c r="D7" t="s">
        <v>565</v>
      </c>
      <c r="E7" s="193" t="s">
        <v>33</v>
      </c>
      <c r="F7" s="193" t="s">
        <v>358</v>
      </c>
      <c r="G7" t="s">
        <v>381</v>
      </c>
      <c r="H7" t="s">
        <v>83</v>
      </c>
      <c r="I7" t="s">
        <v>799</v>
      </c>
      <c r="K7" t="s">
        <v>76</v>
      </c>
      <c r="L7" t="s">
        <v>6</v>
      </c>
      <c r="N7" t="s">
        <v>223</v>
      </c>
      <c r="O7" t="s">
        <v>212</v>
      </c>
      <c r="P7" t="s">
        <v>216</v>
      </c>
      <c r="Q7" t="s">
        <v>113</v>
      </c>
      <c r="S7" t="s">
        <v>195</v>
      </c>
      <c r="T7" t="s">
        <v>495</v>
      </c>
      <c r="U7" t="s">
        <v>88</v>
      </c>
      <c r="W7" t="s">
        <v>80</v>
      </c>
      <c r="X7" t="s">
        <v>521</v>
      </c>
      <c r="Y7" t="s">
        <v>81</v>
      </c>
      <c r="AA7" t="s">
        <v>589</v>
      </c>
      <c r="AB7" t="s">
        <v>196</v>
      </c>
      <c r="AC7" t="s">
        <v>178</v>
      </c>
      <c r="AD7" t="s">
        <v>113</v>
      </c>
      <c r="AE7" t="s">
        <v>589</v>
      </c>
      <c r="AF7" t="s">
        <v>301</v>
      </c>
      <c r="AH7" t="s">
        <v>91</v>
      </c>
      <c r="AI7" t="s">
        <v>91</v>
      </c>
      <c r="AJ7" t="s">
        <v>374</v>
      </c>
      <c r="AK7" t="s">
        <v>91</v>
      </c>
      <c r="AL7" t="s">
        <v>374</v>
      </c>
      <c r="AM7" t="s">
        <v>100</v>
      </c>
      <c r="AN7" t="s">
        <v>284</v>
      </c>
      <c r="AO7" t="s">
        <v>645</v>
      </c>
      <c r="AP7" t="s">
        <v>736</v>
      </c>
      <c r="AQ7" t="s">
        <v>129</v>
      </c>
      <c r="AR7" t="s">
        <v>736</v>
      </c>
      <c r="AS7" t="s">
        <v>196</v>
      </c>
      <c r="AT7" t="s">
        <v>199</v>
      </c>
      <c r="AU7" t="s">
        <v>653</v>
      </c>
      <c r="AW7" t="s">
        <v>80</v>
      </c>
      <c r="AX7" t="s">
        <v>697</v>
      </c>
      <c r="AY7" t="s">
        <v>711</v>
      </c>
      <c r="AZ7" t="s">
        <v>716</v>
      </c>
      <c r="BA7" t="s">
        <v>80</v>
      </c>
      <c r="BB7" t="s">
        <v>676</v>
      </c>
      <c r="BC7" t="s">
        <v>690</v>
      </c>
      <c r="BE7" t="s">
        <v>724</v>
      </c>
      <c r="BF7" t="s">
        <v>666</v>
      </c>
      <c r="BI7" t="e" cm="1" vm="1">
        <f t="array" aca="1" ref="BI7" ca="1">_xlfn._xlws.SORT(_xlfn.UNIQUE(Id_DataEntity))</f>
        <v>#NAME?</v>
      </c>
      <c r="BJ7" t="e" cm="1" vm="1">
        <f t="array" aca="1" ref="BJ7" ca="1">_xlfn.VSTACK(Id_DataEntity_NoDuplicates,N_DataAttributeType)</f>
        <v>#NAME?</v>
      </c>
    </row>
    <row r="8" spans="1:62" x14ac:dyDescent="0.2">
      <c r="A8" t="s">
        <v>192</v>
      </c>
      <c r="B8" t="s">
        <v>45</v>
      </c>
      <c r="C8" t="s">
        <v>69</v>
      </c>
      <c r="D8" t="s">
        <v>566</v>
      </c>
      <c r="E8" s="197" t="s">
        <v>34</v>
      </c>
      <c r="F8" s="194" t="s">
        <v>363</v>
      </c>
      <c r="G8" t="s">
        <v>187</v>
      </c>
      <c r="H8" t="s">
        <v>84</v>
      </c>
      <c r="I8" t="s">
        <v>866</v>
      </c>
      <c r="K8" t="s">
        <v>77</v>
      </c>
      <c r="L8" t="s">
        <v>10</v>
      </c>
      <c r="N8" t="s">
        <v>224</v>
      </c>
      <c r="O8" t="s">
        <v>88</v>
      </c>
      <c r="P8" t="s">
        <v>232</v>
      </c>
      <c r="Q8" t="s">
        <v>114</v>
      </c>
      <c r="S8" t="s">
        <v>250</v>
      </c>
      <c r="T8" t="s">
        <v>496</v>
      </c>
      <c r="U8" t="s">
        <v>89</v>
      </c>
      <c r="W8" t="s">
        <v>248</v>
      </c>
      <c r="X8" t="s">
        <v>522</v>
      </c>
      <c r="Y8" t="s">
        <v>754</v>
      </c>
      <c r="AA8" t="s">
        <v>590</v>
      </c>
      <c r="AB8" t="s">
        <v>28</v>
      </c>
      <c r="AC8" t="s">
        <v>313</v>
      </c>
      <c r="AD8" t="s">
        <v>114</v>
      </c>
      <c r="AE8" t="s">
        <v>590</v>
      </c>
      <c r="AF8" t="s">
        <v>790</v>
      </c>
      <c r="AH8" t="s">
        <v>92</v>
      </c>
      <c r="AI8" t="s">
        <v>104</v>
      </c>
      <c r="AJ8" t="s">
        <v>375</v>
      </c>
      <c r="AK8" t="s">
        <v>104</v>
      </c>
      <c r="AL8" t="s">
        <v>375</v>
      </c>
      <c r="AM8" t="s">
        <v>99</v>
      </c>
      <c r="AN8" t="s">
        <v>380</v>
      </c>
      <c r="AO8" t="s">
        <v>221</v>
      </c>
      <c r="AP8" t="s">
        <v>737</v>
      </c>
      <c r="AQ8" t="s">
        <v>130</v>
      </c>
      <c r="AR8" t="s">
        <v>737</v>
      </c>
      <c r="AS8" t="s">
        <v>197</v>
      </c>
      <c r="AT8" t="s">
        <v>200</v>
      </c>
      <c r="AU8" t="s">
        <v>350</v>
      </c>
      <c r="AW8" t="s">
        <v>97</v>
      </c>
      <c r="AX8" t="s">
        <v>698</v>
      </c>
      <c r="AY8" t="s">
        <v>712</v>
      </c>
      <c r="AZ8" t="s">
        <v>717</v>
      </c>
      <c r="BA8" t="s">
        <v>97</v>
      </c>
      <c r="BB8" t="s">
        <v>677</v>
      </c>
      <c r="BC8" t="s">
        <v>691</v>
      </c>
      <c r="BE8" t="s">
        <v>725</v>
      </c>
      <c r="BF8" t="s">
        <v>667</v>
      </c>
    </row>
    <row r="9" spans="1:62" x14ac:dyDescent="0.2">
      <c r="A9" t="s">
        <v>193</v>
      </c>
      <c r="B9" t="s">
        <v>47</v>
      </c>
      <c r="C9" t="s">
        <v>151</v>
      </c>
      <c r="D9" t="s">
        <v>567</v>
      </c>
      <c r="F9" s="193" t="s">
        <v>360</v>
      </c>
      <c r="G9" t="s">
        <v>188</v>
      </c>
      <c r="H9" t="s">
        <v>85</v>
      </c>
      <c r="K9" t="s">
        <v>78</v>
      </c>
      <c r="L9" t="s">
        <v>75</v>
      </c>
      <c r="N9" t="s">
        <v>90</v>
      </c>
      <c r="O9" t="s">
        <v>222</v>
      </c>
      <c r="P9" t="s">
        <v>233</v>
      </c>
      <c r="S9" t="s">
        <v>194</v>
      </c>
      <c r="T9" t="s">
        <v>497</v>
      </c>
      <c r="U9" t="s">
        <v>90</v>
      </c>
      <c r="W9" t="s">
        <v>519</v>
      </c>
      <c r="X9" t="s">
        <v>573</v>
      </c>
      <c r="Y9" t="s">
        <v>755</v>
      </c>
      <c r="AA9" t="s">
        <v>591</v>
      </c>
      <c r="AB9" t="s">
        <v>43</v>
      </c>
      <c r="AC9" t="s">
        <v>179</v>
      </c>
      <c r="AE9" t="s">
        <v>591</v>
      </c>
      <c r="AF9" t="s">
        <v>776</v>
      </c>
      <c r="AH9" t="s">
        <v>93</v>
      </c>
      <c r="AI9" t="s">
        <v>604</v>
      </c>
      <c r="AJ9" t="s">
        <v>608</v>
      </c>
      <c r="AK9" t="s">
        <v>604</v>
      </c>
      <c r="AL9" t="s">
        <v>608</v>
      </c>
      <c r="AM9" t="s">
        <v>95</v>
      </c>
      <c r="AN9" t="s">
        <v>285</v>
      </c>
      <c r="AO9" t="s">
        <v>43</v>
      </c>
      <c r="AP9" t="s">
        <v>782</v>
      </c>
      <c r="AQ9" t="s">
        <v>131</v>
      </c>
      <c r="AR9" t="s">
        <v>738</v>
      </c>
      <c r="AS9" t="s">
        <v>198</v>
      </c>
      <c r="AT9" t="s">
        <v>652</v>
      </c>
      <c r="AU9" t="s">
        <v>654</v>
      </c>
      <c r="AW9" t="s">
        <v>674</v>
      </c>
      <c r="AX9" t="s">
        <v>699</v>
      </c>
      <c r="AY9" t="s">
        <v>713</v>
      </c>
      <c r="AZ9" t="s">
        <v>718</v>
      </c>
      <c r="BA9" t="s">
        <v>674</v>
      </c>
      <c r="BB9" t="s">
        <v>678</v>
      </c>
      <c r="BC9" t="s">
        <v>692</v>
      </c>
      <c r="BF9" t="s">
        <v>668</v>
      </c>
    </row>
    <row r="10" spans="1:62" x14ac:dyDescent="0.2">
      <c r="A10" t="s">
        <v>105</v>
      </c>
      <c r="B10" t="s">
        <v>49</v>
      </c>
      <c r="C10" t="s">
        <v>152</v>
      </c>
      <c r="D10" t="s">
        <v>568</v>
      </c>
      <c r="F10" s="194" t="s">
        <v>359</v>
      </c>
      <c r="G10" t="s">
        <v>189</v>
      </c>
      <c r="H10" t="s">
        <v>86</v>
      </c>
      <c r="K10" t="s">
        <v>79</v>
      </c>
      <c r="L10" t="s">
        <v>561</v>
      </c>
      <c r="N10" t="s">
        <v>227</v>
      </c>
      <c r="O10" t="s">
        <v>223</v>
      </c>
      <c r="S10" t="s">
        <v>6</v>
      </c>
      <c r="T10" t="s">
        <v>498</v>
      </c>
      <c r="W10" t="s">
        <v>520</v>
      </c>
      <c r="X10" t="s">
        <v>523</v>
      </c>
      <c r="Y10" t="s">
        <v>756</v>
      </c>
      <c r="AA10" t="s">
        <v>592</v>
      </c>
      <c r="AC10" t="s">
        <v>32</v>
      </c>
      <c r="AE10" t="s">
        <v>592</v>
      </c>
      <c r="AF10" t="s">
        <v>792</v>
      </c>
      <c r="AI10" t="s">
        <v>102</v>
      </c>
      <c r="AJ10" t="s">
        <v>609</v>
      </c>
      <c r="AK10" t="s">
        <v>102</v>
      </c>
      <c r="AL10" t="s">
        <v>609</v>
      </c>
      <c r="AM10" t="s">
        <v>97</v>
      </c>
      <c r="AN10" t="s">
        <v>286</v>
      </c>
      <c r="AP10" t="s">
        <v>784</v>
      </c>
      <c r="AQ10" t="s">
        <v>132</v>
      </c>
      <c r="AR10" t="s">
        <v>739</v>
      </c>
      <c r="AT10" t="s">
        <v>201</v>
      </c>
      <c r="AU10" t="s">
        <v>655</v>
      </c>
      <c r="AW10" t="s">
        <v>43</v>
      </c>
      <c r="AX10" t="s">
        <v>700</v>
      </c>
      <c r="AY10" t="s">
        <v>714</v>
      </c>
      <c r="AZ10" t="s">
        <v>719</v>
      </c>
      <c r="BA10" t="s">
        <v>43</v>
      </c>
      <c r="BB10" t="s">
        <v>679</v>
      </c>
      <c r="BC10" t="s">
        <v>693</v>
      </c>
      <c r="BF10" t="s">
        <v>669</v>
      </c>
    </row>
    <row r="11" spans="1:62" x14ac:dyDescent="0.2">
      <c r="A11" t="s">
        <v>42</v>
      </c>
      <c r="B11" t="s">
        <v>148</v>
      </c>
      <c r="C11" t="s">
        <v>153</v>
      </c>
      <c r="D11" t="s">
        <v>569</v>
      </c>
      <c r="F11" s="193" t="s">
        <v>361</v>
      </c>
      <c r="G11" t="s">
        <v>190</v>
      </c>
      <c r="H11" t="s">
        <v>87</v>
      </c>
      <c r="L11" t="s">
        <v>43</v>
      </c>
      <c r="N11" t="s">
        <v>228</v>
      </c>
      <c r="O11" t="s">
        <v>224</v>
      </c>
      <c r="S11" t="s">
        <v>43</v>
      </c>
      <c r="T11" t="s">
        <v>499</v>
      </c>
      <c r="W11" t="s">
        <v>74</v>
      </c>
      <c r="X11" t="s">
        <v>524</v>
      </c>
      <c r="Y11" t="s">
        <v>757</v>
      </c>
      <c r="AA11" t="s">
        <v>593</v>
      </c>
      <c r="AC11" t="s">
        <v>314</v>
      </c>
      <c r="AE11" t="s">
        <v>593</v>
      </c>
      <c r="AI11" t="s">
        <v>103</v>
      </c>
      <c r="AJ11" t="s">
        <v>376</v>
      </c>
      <c r="AK11" t="s">
        <v>103</v>
      </c>
      <c r="AL11" t="s">
        <v>376</v>
      </c>
      <c r="AM11" t="s">
        <v>98</v>
      </c>
      <c r="AN11" t="s">
        <v>287</v>
      </c>
      <c r="AP11" t="s">
        <v>783</v>
      </c>
      <c r="AQ11" t="s">
        <v>133</v>
      </c>
      <c r="AR11" t="s">
        <v>740</v>
      </c>
      <c r="AT11" t="s">
        <v>43</v>
      </c>
      <c r="AU11" t="s">
        <v>656</v>
      </c>
      <c r="AX11" t="s">
        <v>701</v>
      </c>
      <c r="AZ11" t="s">
        <v>720</v>
      </c>
      <c r="BB11" t="s">
        <v>680</v>
      </c>
      <c r="BC11" t="s">
        <v>694</v>
      </c>
      <c r="BF11" t="s">
        <v>670</v>
      </c>
    </row>
    <row r="12" spans="1:62" x14ac:dyDescent="0.2">
      <c r="A12" t="s">
        <v>46</v>
      </c>
      <c r="B12" t="s">
        <v>149</v>
      </c>
      <c r="C12" t="s">
        <v>154</v>
      </c>
      <c r="F12" s="197" t="s">
        <v>362</v>
      </c>
      <c r="G12" t="s">
        <v>236</v>
      </c>
      <c r="H12" t="s">
        <v>234</v>
      </c>
      <c r="N12" t="s">
        <v>229</v>
      </c>
      <c r="O12" t="s">
        <v>225</v>
      </c>
      <c r="T12" t="s">
        <v>500</v>
      </c>
      <c r="X12" t="s">
        <v>525</v>
      </c>
      <c r="Y12" t="s">
        <v>43</v>
      </c>
      <c r="AA12" t="s">
        <v>43</v>
      </c>
      <c r="AC12" t="s">
        <v>180</v>
      </c>
      <c r="AE12" t="s">
        <v>43</v>
      </c>
      <c r="AI12" t="s">
        <v>101</v>
      </c>
      <c r="AJ12" t="s">
        <v>610</v>
      </c>
      <c r="AK12" t="s">
        <v>101</v>
      </c>
      <c r="AL12" t="s">
        <v>610</v>
      </c>
      <c r="AM12" t="s">
        <v>96</v>
      </c>
      <c r="AN12" t="s">
        <v>288</v>
      </c>
      <c r="AQ12" t="s">
        <v>134</v>
      </c>
      <c r="AR12" t="s">
        <v>741</v>
      </c>
      <c r="AT12" t="s">
        <v>202</v>
      </c>
      <c r="AU12" t="s">
        <v>657</v>
      </c>
      <c r="AX12" t="s">
        <v>702</v>
      </c>
      <c r="AZ12" t="s">
        <v>721</v>
      </c>
      <c r="BB12" t="s">
        <v>681</v>
      </c>
      <c r="BF12" t="s">
        <v>225</v>
      </c>
    </row>
    <row r="13" spans="1:62" x14ac:dyDescent="0.2">
      <c r="A13" t="s">
        <v>43</v>
      </c>
      <c r="B13" t="s">
        <v>43</v>
      </c>
      <c r="C13" t="s">
        <v>70</v>
      </c>
      <c r="G13" t="s">
        <v>237</v>
      </c>
      <c r="H13" t="s">
        <v>43</v>
      </c>
      <c r="N13" t="s">
        <v>230</v>
      </c>
      <c r="O13" t="s">
        <v>226</v>
      </c>
      <c r="T13" t="s">
        <v>501</v>
      </c>
      <c r="X13" t="s">
        <v>251</v>
      </c>
      <c r="AC13" t="s">
        <v>181</v>
      </c>
      <c r="AI13" t="s">
        <v>605</v>
      </c>
      <c r="AJ13" t="s">
        <v>611</v>
      </c>
      <c r="AK13" t="s">
        <v>605</v>
      </c>
      <c r="AL13" t="s">
        <v>611</v>
      </c>
      <c r="AM13" t="s">
        <v>43</v>
      </c>
      <c r="AN13" t="s">
        <v>289</v>
      </c>
      <c r="AQ13" t="s">
        <v>135</v>
      </c>
      <c r="AR13" t="s">
        <v>742</v>
      </c>
      <c r="AU13" t="s">
        <v>658</v>
      </c>
      <c r="AX13" t="s">
        <v>294</v>
      </c>
      <c r="AZ13" t="s">
        <v>722</v>
      </c>
      <c r="BB13" t="s">
        <v>682</v>
      </c>
      <c r="BF13" t="s">
        <v>671</v>
      </c>
    </row>
    <row r="14" spans="1:62" x14ac:dyDescent="0.2">
      <c r="G14" t="s">
        <v>238</v>
      </c>
      <c r="N14" t="s">
        <v>231</v>
      </c>
      <c r="O14" t="s">
        <v>585</v>
      </c>
      <c r="T14" t="s">
        <v>502</v>
      </c>
      <c r="X14" t="s">
        <v>526</v>
      </c>
      <c r="AC14" t="s">
        <v>182</v>
      </c>
      <c r="AI14" t="s">
        <v>606</v>
      </c>
      <c r="AJ14" t="s">
        <v>612</v>
      </c>
      <c r="AK14" t="s">
        <v>606</v>
      </c>
      <c r="AL14" t="s">
        <v>612</v>
      </c>
      <c r="AN14" t="s">
        <v>290</v>
      </c>
      <c r="AQ14" t="s">
        <v>136</v>
      </c>
      <c r="AR14" t="s">
        <v>743</v>
      </c>
      <c r="AU14" t="s">
        <v>659</v>
      </c>
      <c r="AX14" t="s">
        <v>703</v>
      </c>
      <c r="BB14" t="s">
        <v>683</v>
      </c>
      <c r="BF14" t="s">
        <v>43</v>
      </c>
    </row>
    <row r="15" spans="1:62" x14ac:dyDescent="0.2">
      <c r="G15" t="s">
        <v>382</v>
      </c>
      <c r="N15" t="s">
        <v>585</v>
      </c>
      <c r="T15" t="s">
        <v>503</v>
      </c>
      <c r="X15" t="s">
        <v>527</v>
      </c>
      <c r="AC15" t="s">
        <v>183</v>
      </c>
      <c r="AI15" t="s">
        <v>607</v>
      </c>
      <c r="AJ15" t="s">
        <v>613</v>
      </c>
      <c r="AK15" t="s">
        <v>607</v>
      </c>
      <c r="AL15" t="s">
        <v>613</v>
      </c>
      <c r="AN15" t="s">
        <v>291</v>
      </c>
      <c r="AQ15" t="s">
        <v>137</v>
      </c>
      <c r="AR15" t="s">
        <v>228</v>
      </c>
      <c r="AU15" t="s">
        <v>660</v>
      </c>
      <c r="AX15" t="s">
        <v>295</v>
      </c>
      <c r="BB15" t="s">
        <v>684</v>
      </c>
      <c r="BF15" t="s">
        <v>202</v>
      </c>
    </row>
    <row r="16" spans="1:62" x14ac:dyDescent="0.2">
      <c r="G16" t="s">
        <v>383</v>
      </c>
      <c r="T16" t="s">
        <v>504</v>
      </c>
      <c r="X16" t="s">
        <v>528</v>
      </c>
      <c r="AC16" t="s">
        <v>315</v>
      </c>
      <c r="AI16" t="s">
        <v>100</v>
      </c>
      <c r="AJ16" t="s">
        <v>177</v>
      </c>
      <c r="AK16" t="s">
        <v>100</v>
      </c>
      <c r="AL16" t="s">
        <v>177</v>
      </c>
      <c r="AN16" t="s">
        <v>292</v>
      </c>
      <c r="AQ16" t="s">
        <v>138</v>
      </c>
      <c r="AR16" t="s">
        <v>744</v>
      </c>
      <c r="AU16" t="s">
        <v>661</v>
      </c>
      <c r="AX16" t="s">
        <v>704</v>
      </c>
      <c r="BB16" t="s">
        <v>685</v>
      </c>
    </row>
    <row r="17" spans="7:54" x14ac:dyDescent="0.2">
      <c r="G17" t="s">
        <v>384</v>
      </c>
      <c r="T17" t="s">
        <v>505</v>
      </c>
      <c r="X17" t="s">
        <v>529</v>
      </c>
      <c r="AC17" t="s">
        <v>184</v>
      </c>
      <c r="AI17" t="s">
        <v>99</v>
      </c>
      <c r="AJ17" t="s">
        <v>377</v>
      </c>
      <c r="AK17" t="s">
        <v>99</v>
      </c>
      <c r="AL17" t="s">
        <v>377</v>
      </c>
      <c r="AN17" t="s">
        <v>293</v>
      </c>
      <c r="AQ17" t="s">
        <v>139</v>
      </c>
      <c r="AR17" t="s">
        <v>223</v>
      </c>
      <c r="AU17" t="s">
        <v>364</v>
      </c>
      <c r="AX17" t="s">
        <v>705</v>
      </c>
      <c r="BB17" t="s">
        <v>686</v>
      </c>
    </row>
    <row r="18" spans="7:54" x14ac:dyDescent="0.2">
      <c r="G18" t="s">
        <v>385</v>
      </c>
      <c r="T18" t="s">
        <v>506</v>
      </c>
      <c r="X18" t="s">
        <v>530</v>
      </c>
      <c r="AC18" t="s">
        <v>185</v>
      </c>
      <c r="AI18" t="s">
        <v>43</v>
      </c>
      <c r="AJ18" t="s">
        <v>378</v>
      </c>
      <c r="AK18" t="s">
        <v>43</v>
      </c>
      <c r="AL18" t="s">
        <v>378</v>
      </c>
      <c r="AN18" t="s">
        <v>294</v>
      </c>
      <c r="AQ18" t="s">
        <v>140</v>
      </c>
      <c r="AR18" t="s">
        <v>745</v>
      </c>
      <c r="AU18" t="s">
        <v>662</v>
      </c>
      <c r="AX18" t="s">
        <v>706</v>
      </c>
      <c r="BB18" t="s">
        <v>687</v>
      </c>
    </row>
    <row r="19" spans="7:54" x14ac:dyDescent="0.2">
      <c r="G19" t="s">
        <v>386</v>
      </c>
      <c r="T19" t="s">
        <v>507</v>
      </c>
      <c r="X19" t="s">
        <v>531</v>
      </c>
      <c r="AC19" t="s">
        <v>316</v>
      </c>
      <c r="AJ19" t="s">
        <v>379</v>
      </c>
      <c r="AL19" t="s">
        <v>379</v>
      </c>
      <c r="AN19" t="s">
        <v>295</v>
      </c>
      <c r="AQ19" t="s">
        <v>141</v>
      </c>
      <c r="AR19" t="s">
        <v>746</v>
      </c>
      <c r="AU19" t="s">
        <v>663</v>
      </c>
      <c r="AX19" t="s">
        <v>707</v>
      </c>
      <c r="BB19" t="s">
        <v>688</v>
      </c>
    </row>
    <row r="20" spans="7:54" x14ac:dyDescent="0.2">
      <c r="G20" t="s">
        <v>387</v>
      </c>
      <c r="T20" t="s">
        <v>508</v>
      </c>
      <c r="X20" t="s">
        <v>532</v>
      </c>
      <c r="AC20" t="s">
        <v>597</v>
      </c>
      <c r="AJ20" t="s">
        <v>176</v>
      </c>
      <c r="AL20" t="s">
        <v>176</v>
      </c>
      <c r="AN20" t="s">
        <v>642</v>
      </c>
      <c r="AQ20" t="s">
        <v>142</v>
      </c>
      <c r="AR20" t="s">
        <v>748</v>
      </c>
      <c r="AU20" t="s">
        <v>664</v>
      </c>
      <c r="AX20" t="s">
        <v>708</v>
      </c>
      <c r="BB20" t="s">
        <v>43</v>
      </c>
    </row>
    <row r="21" spans="7:54" x14ac:dyDescent="0.2">
      <c r="G21" t="s">
        <v>235</v>
      </c>
      <c r="T21" t="s">
        <v>509</v>
      </c>
      <c r="X21" t="s">
        <v>533</v>
      </c>
      <c r="AC21" t="s">
        <v>598</v>
      </c>
      <c r="AJ21" t="s">
        <v>614</v>
      </c>
      <c r="AL21" t="s">
        <v>614</v>
      </c>
      <c r="AN21" t="s">
        <v>643</v>
      </c>
      <c r="AQ21" t="s">
        <v>143</v>
      </c>
      <c r="AR21" t="s">
        <v>747</v>
      </c>
      <c r="AU21" t="s">
        <v>43</v>
      </c>
      <c r="AX21" t="s">
        <v>709</v>
      </c>
    </row>
    <row r="22" spans="7:54" x14ac:dyDescent="0.2">
      <c r="G22" t="s">
        <v>229</v>
      </c>
      <c r="T22" t="s">
        <v>510</v>
      </c>
      <c r="X22" t="s">
        <v>534</v>
      </c>
      <c r="AC22" t="s">
        <v>186</v>
      </c>
      <c r="AJ22" t="s">
        <v>615</v>
      </c>
      <c r="AL22" t="s">
        <v>615</v>
      </c>
      <c r="AN22" t="s">
        <v>296</v>
      </c>
      <c r="AQ22" t="s">
        <v>144</v>
      </c>
      <c r="AR22" t="s">
        <v>43</v>
      </c>
      <c r="AX22" t="s">
        <v>43</v>
      </c>
    </row>
    <row r="23" spans="7:54" x14ac:dyDescent="0.2">
      <c r="G23" t="s">
        <v>388</v>
      </c>
      <c r="T23" t="s">
        <v>511</v>
      </c>
      <c r="X23" t="s">
        <v>535</v>
      </c>
      <c r="AC23" t="s">
        <v>317</v>
      </c>
      <c r="AJ23" t="s">
        <v>616</v>
      </c>
      <c r="AL23" t="s">
        <v>616</v>
      </c>
      <c r="AN23" t="s">
        <v>297</v>
      </c>
      <c r="AQ23" t="s">
        <v>145</v>
      </c>
    </row>
    <row r="24" spans="7:54" x14ac:dyDescent="0.2">
      <c r="G24" t="s">
        <v>364</v>
      </c>
      <c r="T24" t="s">
        <v>512</v>
      </c>
      <c r="X24" t="s">
        <v>574</v>
      </c>
      <c r="AC24" t="s">
        <v>318</v>
      </c>
      <c r="AJ24" t="s">
        <v>617</v>
      </c>
      <c r="AL24" t="s">
        <v>617</v>
      </c>
      <c r="AN24" t="s">
        <v>298</v>
      </c>
      <c r="AQ24" t="s">
        <v>146</v>
      </c>
    </row>
    <row r="25" spans="7:54" x14ac:dyDescent="0.2">
      <c r="G25" t="s">
        <v>389</v>
      </c>
      <c r="T25" t="s">
        <v>513</v>
      </c>
      <c r="X25" t="s">
        <v>536</v>
      </c>
      <c r="AJ25" t="s">
        <v>618</v>
      </c>
      <c r="AL25" t="s">
        <v>618</v>
      </c>
      <c r="AN25" t="s">
        <v>299</v>
      </c>
      <c r="AQ25" t="s">
        <v>147</v>
      </c>
    </row>
    <row r="26" spans="7:54" x14ac:dyDescent="0.2">
      <c r="G26" t="s">
        <v>390</v>
      </c>
      <c r="T26" t="s">
        <v>514</v>
      </c>
      <c r="X26" t="s">
        <v>537</v>
      </c>
      <c r="AJ26" t="s">
        <v>619</v>
      </c>
      <c r="AL26" t="s">
        <v>619</v>
      </c>
      <c r="AN26" t="s">
        <v>300</v>
      </c>
      <c r="AQ26" t="s">
        <v>647</v>
      </c>
    </row>
    <row r="27" spans="7:54" x14ac:dyDescent="0.2">
      <c r="G27" t="s">
        <v>391</v>
      </c>
      <c r="T27" t="s">
        <v>515</v>
      </c>
      <c r="X27" t="s">
        <v>538</v>
      </c>
      <c r="AJ27" t="s">
        <v>371</v>
      </c>
      <c r="AL27" t="s">
        <v>371</v>
      </c>
      <c r="AN27" t="s">
        <v>43</v>
      </c>
      <c r="AQ27" t="s">
        <v>43</v>
      </c>
    </row>
    <row r="28" spans="7:54" x14ac:dyDescent="0.2">
      <c r="G28" t="s">
        <v>43</v>
      </c>
      <c r="T28" t="s">
        <v>516</v>
      </c>
      <c r="X28" t="s">
        <v>539</v>
      </c>
      <c r="AJ28" t="s">
        <v>372</v>
      </c>
      <c r="AL28" t="s">
        <v>372</v>
      </c>
    </row>
    <row r="29" spans="7:54" x14ac:dyDescent="0.2">
      <c r="T29" t="s">
        <v>517</v>
      </c>
      <c r="X29" t="s">
        <v>540</v>
      </c>
      <c r="AJ29" t="s">
        <v>373</v>
      </c>
      <c r="AL29" t="s">
        <v>373</v>
      </c>
    </row>
    <row r="30" spans="7:54" x14ac:dyDescent="0.2">
      <c r="T30" t="s">
        <v>518</v>
      </c>
      <c r="X30" t="s">
        <v>575</v>
      </c>
      <c r="AJ30" t="s">
        <v>175</v>
      </c>
      <c r="AL30" t="s">
        <v>175</v>
      </c>
    </row>
    <row r="31" spans="7:54" x14ac:dyDescent="0.2">
      <c r="T31" t="s">
        <v>252</v>
      </c>
      <c r="X31" t="s">
        <v>541</v>
      </c>
      <c r="AJ31" t="s">
        <v>620</v>
      </c>
      <c r="AL31" t="s">
        <v>620</v>
      </c>
    </row>
    <row r="32" spans="7:54" x14ac:dyDescent="0.2">
      <c r="T32" t="s">
        <v>253</v>
      </c>
      <c r="X32" t="s">
        <v>542</v>
      </c>
      <c r="AJ32" t="s">
        <v>621</v>
      </c>
      <c r="AL32" t="s">
        <v>621</v>
      </c>
    </row>
    <row r="33" spans="20:38" x14ac:dyDescent="0.2">
      <c r="T33" t="s">
        <v>43</v>
      </c>
      <c r="X33" t="s">
        <v>543</v>
      </c>
      <c r="AJ33" t="s">
        <v>622</v>
      </c>
      <c r="AL33" t="s">
        <v>622</v>
      </c>
    </row>
    <row r="34" spans="20:38" x14ac:dyDescent="0.2">
      <c r="X34" t="s">
        <v>544</v>
      </c>
      <c r="AJ34" t="s">
        <v>407</v>
      </c>
      <c r="AL34" t="s">
        <v>407</v>
      </c>
    </row>
    <row r="35" spans="20:38" x14ac:dyDescent="0.2">
      <c r="X35" t="s">
        <v>545</v>
      </c>
      <c r="AJ35" t="s">
        <v>623</v>
      </c>
      <c r="AL35" t="s">
        <v>623</v>
      </c>
    </row>
    <row r="36" spans="20:38" x14ac:dyDescent="0.2">
      <c r="X36" t="s">
        <v>546</v>
      </c>
      <c r="AJ36" t="s">
        <v>624</v>
      </c>
      <c r="AL36" t="s">
        <v>624</v>
      </c>
    </row>
    <row r="37" spans="20:38" x14ac:dyDescent="0.2">
      <c r="X37" t="s">
        <v>576</v>
      </c>
      <c r="AJ37" t="s">
        <v>625</v>
      </c>
      <c r="AL37" t="s">
        <v>625</v>
      </c>
    </row>
    <row r="38" spans="20:38" x14ac:dyDescent="0.2">
      <c r="X38" t="s">
        <v>547</v>
      </c>
      <c r="AJ38" t="s">
        <v>626</v>
      </c>
      <c r="AL38" t="s">
        <v>626</v>
      </c>
    </row>
    <row r="39" spans="20:38" x14ac:dyDescent="0.2">
      <c r="X39" t="s">
        <v>548</v>
      </c>
      <c r="AJ39" t="s">
        <v>627</v>
      </c>
      <c r="AL39" t="s">
        <v>627</v>
      </c>
    </row>
    <row r="40" spans="20:38" x14ac:dyDescent="0.2">
      <c r="X40" t="s">
        <v>549</v>
      </c>
      <c r="AJ40" t="s">
        <v>628</v>
      </c>
      <c r="AL40" t="s">
        <v>628</v>
      </c>
    </row>
    <row r="41" spans="20:38" x14ac:dyDescent="0.2">
      <c r="X41" t="s">
        <v>577</v>
      </c>
      <c r="AJ41" t="s">
        <v>629</v>
      </c>
      <c r="AL41" t="s">
        <v>629</v>
      </c>
    </row>
    <row r="42" spans="20:38" x14ac:dyDescent="0.2">
      <c r="AJ42" t="s">
        <v>630</v>
      </c>
      <c r="AL42" t="s">
        <v>630</v>
      </c>
    </row>
    <row r="43" spans="20:38" x14ac:dyDescent="0.2">
      <c r="AJ43" t="s">
        <v>631</v>
      </c>
      <c r="AL43" t="s">
        <v>631</v>
      </c>
    </row>
    <row r="44" spans="20:38" x14ac:dyDescent="0.2">
      <c r="AJ44" t="s">
        <v>632</v>
      </c>
      <c r="AL44" t="s">
        <v>632</v>
      </c>
    </row>
    <row r="45" spans="20:38" x14ac:dyDescent="0.2">
      <c r="AJ45" t="s">
        <v>633</v>
      </c>
      <c r="AL45" t="s">
        <v>633</v>
      </c>
    </row>
    <row r="46" spans="20:38" x14ac:dyDescent="0.2">
      <c r="AJ46" t="s">
        <v>634</v>
      </c>
      <c r="AL46" t="s">
        <v>634</v>
      </c>
    </row>
    <row r="47" spans="20:38" x14ac:dyDescent="0.2">
      <c r="AJ47" t="s">
        <v>635</v>
      </c>
      <c r="AL47" t="s">
        <v>635</v>
      </c>
    </row>
    <row r="48" spans="20:38" x14ac:dyDescent="0.2">
      <c r="AJ48" t="s">
        <v>636</v>
      </c>
      <c r="AL48" t="s">
        <v>636</v>
      </c>
    </row>
    <row r="49" spans="36:38" x14ac:dyDescent="0.2">
      <c r="AJ49" t="s">
        <v>637</v>
      </c>
      <c r="AL49" t="s">
        <v>637</v>
      </c>
    </row>
    <row r="50" spans="36:38" x14ac:dyDescent="0.2">
      <c r="AJ50" t="s">
        <v>638</v>
      </c>
      <c r="AL50" t="s">
        <v>638</v>
      </c>
    </row>
    <row r="51" spans="36:38" x14ac:dyDescent="0.2">
      <c r="AJ51" t="s">
        <v>639</v>
      </c>
      <c r="AL51" t="s">
        <v>639</v>
      </c>
    </row>
    <row r="52" spans="36:38" x14ac:dyDescent="0.2">
      <c r="AJ52" t="s">
        <v>284</v>
      </c>
      <c r="AL52" t="s">
        <v>284</v>
      </c>
    </row>
    <row r="53" spans="36:38" x14ac:dyDescent="0.2">
      <c r="AJ53" t="s">
        <v>380</v>
      </c>
      <c r="AL53" t="s">
        <v>380</v>
      </c>
    </row>
    <row r="54" spans="36:38" x14ac:dyDescent="0.2">
      <c r="AJ54" t="s">
        <v>285</v>
      </c>
      <c r="AL54" t="s">
        <v>285</v>
      </c>
    </row>
    <row r="55" spans="36:38" x14ac:dyDescent="0.2">
      <c r="AJ55" t="s">
        <v>286</v>
      </c>
      <c r="AL55" t="s">
        <v>286</v>
      </c>
    </row>
    <row r="56" spans="36:38" x14ac:dyDescent="0.2">
      <c r="AJ56" t="s">
        <v>287</v>
      </c>
      <c r="AL56" t="s">
        <v>287</v>
      </c>
    </row>
    <row r="57" spans="36:38" x14ac:dyDescent="0.2">
      <c r="AJ57" t="s">
        <v>288</v>
      </c>
      <c r="AL57" t="s">
        <v>288</v>
      </c>
    </row>
  </sheetData>
  <mergeCells count="12">
    <mergeCell ref="K5:L5"/>
    <mergeCell ref="A1:C1"/>
    <mergeCell ref="A2:C2"/>
    <mergeCell ref="A3:E3"/>
    <mergeCell ref="A5:I5"/>
    <mergeCell ref="N5:Q5"/>
    <mergeCell ref="AW5:BC5"/>
    <mergeCell ref="BE5:BG5"/>
    <mergeCell ref="AH5:AU5"/>
    <mergeCell ref="W5:X5"/>
    <mergeCell ref="S5:U5"/>
    <mergeCell ref="AA5:AF5"/>
  </mergeCells>
  <pageMargins left="0.7" right="0.7" top="0.75" bottom="0.75" header="0.3" footer="0.3"/>
  <pageSetup paperSize="9" orientation="portrait" horizontalDpi="4294967292" r:id="rId1"/>
  <tableParts count="50">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scriptId id="ms-officescript%3A%2F%2Fonedrive_business_itemlink%2F01TIRJDL5R2XHI4XNCPZFK6LLNFFI75Q5I:ms-officescript%3A%2F%2Fonedrive_business_sharinglink%2Fu!aHR0cHM6Ly91bGlzYm9hLW15LnNoYXJlcG9pbnQuY29tLzp1Oi9nL3BlcnNvbmFsL2lzdDQyNjAwMV90ZWNuaWNvX3VsaXNib2FfcHQvRWJIVnpvNWRvbjVLcnkxdEtWSC13NmdCc1VmYWk4ODFoLUhCNl90NUNNRUFzZw"/>
</scriptIds>
</file>

<file path=customXml/itemProps1.xml><?xml version="1.0" encoding="utf-8"?>
<ds:datastoreItem xmlns:ds="http://schemas.openxmlformats.org/officeDocument/2006/customXml" ds:itemID="{BE84F415-E80D-CF4A-BC3D-3FCE5DAB612C}">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33</vt:i4>
      </vt:variant>
      <vt:variant>
        <vt:lpstr>Named Ranges</vt:lpstr>
      </vt:variant>
      <vt:variant>
        <vt:i4>207</vt:i4>
      </vt:variant>
    </vt:vector>
  </HeadingPairs>
  <TitlesOfParts>
    <vt:vector size="240" baseType="lpstr">
      <vt:lpstr>Index</vt:lpstr>
      <vt:lpstr>Intro.Business</vt:lpstr>
      <vt:lpstr>Intro.System</vt:lpstr>
      <vt:lpstr>Subject.Stakeholders</vt:lpstr>
      <vt:lpstr>Subject.Actors</vt:lpstr>
      <vt:lpstr>Action.Tasks</vt:lpstr>
      <vt:lpstr>Action.Events</vt:lpstr>
      <vt:lpstr>Action.Flows</vt:lpstr>
      <vt:lpstr>Action.StateMachines</vt:lpstr>
      <vt:lpstr>Object.DataEntities.Complete</vt:lpstr>
      <vt:lpstr>Object.DataEntityClusters</vt:lpstr>
      <vt:lpstr>R.Goals</vt:lpstr>
      <vt:lpstr>R.FRs</vt:lpstr>
      <vt:lpstr>Object.DataEntity</vt:lpstr>
      <vt:lpstr>Object.DataEntityAttributes</vt:lpstr>
      <vt:lpstr>Object.DataEntityValues</vt:lpstr>
      <vt:lpstr>Object.DataEntityCluster</vt:lpstr>
      <vt:lpstr>R.Themes</vt:lpstr>
      <vt:lpstr>R.UserStories</vt:lpstr>
      <vt:lpstr>R.AcceptanceCriteria</vt:lpstr>
      <vt:lpstr>R.QRs</vt:lpstr>
      <vt:lpstr>R.Constraints</vt:lpstr>
      <vt:lpstr>R.UseCases</vt:lpstr>
      <vt:lpstr>R.UseCases.Complete</vt:lpstr>
      <vt:lpstr>R.UseCases.Scenarios</vt:lpstr>
      <vt:lpstr>Other.Glossary</vt:lpstr>
      <vt:lpstr>Other.Risks</vt:lpstr>
      <vt:lpstr>Other.Vulnerabilities</vt:lpstr>
      <vt:lpstr>Relations.Actions</vt:lpstr>
      <vt:lpstr>Relations.Systems</vt:lpstr>
      <vt:lpstr>Relations.Reqs</vt:lpstr>
      <vt:lpstr>.copyright</vt:lpstr>
      <vt:lpstr>.config</vt:lpstr>
      <vt:lpstr>Object.DataEntities.Complete!GlossaryTable</vt:lpstr>
      <vt:lpstr>R.AcceptanceCriteria!GlossaryTable</vt:lpstr>
      <vt:lpstr>R.UseCases.Complete!GlossaryTable</vt:lpstr>
      <vt:lpstr>GlossaryTable</vt:lpstr>
      <vt:lpstr>Object.DataEntities.Complete!ID_ActiveEvent</vt:lpstr>
      <vt:lpstr>R.AcceptanceCriteria!ID_ActiveEvent</vt:lpstr>
      <vt:lpstr>R.UseCases.Complete!ID_ActiveEvent</vt:lpstr>
      <vt:lpstr>ID_ActiveEvent</vt:lpstr>
      <vt:lpstr>Object.DataEntities.Complete!ID_ActiveTask</vt:lpstr>
      <vt:lpstr>R.AcceptanceCriteria!ID_ActiveTask</vt:lpstr>
      <vt:lpstr>R.UseCases.Complete!ID_ActiveTask</vt:lpstr>
      <vt:lpstr>ID_ActiveTask</vt:lpstr>
      <vt:lpstr>Object.DataEntities.Complete!ID_Actor</vt:lpstr>
      <vt:lpstr>R.AcceptanceCriteria!ID_Actor</vt:lpstr>
      <vt:lpstr>R.UseCases.Complete!ID_Actor</vt:lpstr>
      <vt:lpstr>ID_Actor</vt:lpstr>
      <vt:lpstr>Object.DataEntities.Complete!ID_Constraint</vt:lpstr>
      <vt:lpstr>R.AcceptanceCriteria!ID_Constraint</vt:lpstr>
      <vt:lpstr>R.UseCases.Complete!ID_Constraint</vt:lpstr>
      <vt:lpstr>ID_Constraint</vt:lpstr>
      <vt:lpstr>Id_DataEntity</vt:lpstr>
      <vt:lpstr>Object.DataEntities.Complete!ID_FR</vt:lpstr>
      <vt:lpstr>R.AcceptanceCriteria!ID_FR</vt:lpstr>
      <vt:lpstr>R.UseCases.Complete!ID_FR</vt:lpstr>
      <vt:lpstr>ID_FR</vt:lpstr>
      <vt:lpstr>Object.DataEntities.Complete!ID_Goal</vt:lpstr>
      <vt:lpstr>R.AcceptanceCriteria!ID_Goal</vt:lpstr>
      <vt:lpstr>R.UseCases.Complete!ID_Goal</vt:lpstr>
      <vt:lpstr>ID_Goal</vt:lpstr>
      <vt:lpstr>Object.DataEntities.Complete!ID_QR</vt:lpstr>
      <vt:lpstr>R.AcceptanceCriteria!ID_QR</vt:lpstr>
      <vt:lpstr>R.UseCases.Complete!ID_QR</vt:lpstr>
      <vt:lpstr>ID_QR</vt:lpstr>
      <vt:lpstr>ID_Risk</vt:lpstr>
      <vt:lpstr>Object.DataEntities.Complete!ID_Stakeholder</vt:lpstr>
      <vt:lpstr>R.AcceptanceCriteria!ID_Stakeholder</vt:lpstr>
      <vt:lpstr>R.UseCases.Complete!ID_Stakeholder</vt:lpstr>
      <vt:lpstr>ID_Stakeholder</vt:lpstr>
      <vt:lpstr>R.AcceptanceCriteria!ID_UseCase</vt:lpstr>
      <vt:lpstr>ID_UseCase</vt:lpstr>
      <vt:lpstr>R.UseCases.Complete!ID_UseCase_Complete</vt:lpstr>
      <vt:lpstr>Object.DataEntities.Complete!ID_UserStory</vt:lpstr>
      <vt:lpstr>R.AcceptanceCriteria!ID_UserStory</vt:lpstr>
      <vt:lpstr>R.UseCases.Complete!ID_UserStory</vt:lpstr>
      <vt:lpstr>ID_UserStory</vt:lpstr>
      <vt:lpstr>Object.DataEntities.Complete!ID_Vulnerability</vt:lpstr>
      <vt:lpstr>R.AcceptanceCriteria!ID_Vulnerability</vt:lpstr>
      <vt:lpstr>R.UseCases.Complete!ID_Vulnerability</vt:lpstr>
      <vt:lpstr>ID_Vulnerability</vt:lpstr>
      <vt:lpstr>Object.DataEntities.Complete!N_ActiveEventType</vt:lpstr>
      <vt:lpstr>R.AcceptanceCriteria!N_ActiveEventType</vt:lpstr>
      <vt:lpstr>R.UseCases.Complete!N_ActiveEventType</vt:lpstr>
      <vt:lpstr>N_ActiveEventType</vt:lpstr>
      <vt:lpstr>Object.DataEntities.Complete!N_ActiveFlowType</vt:lpstr>
      <vt:lpstr>R.AcceptanceCriteria!N_ActiveFlowType</vt:lpstr>
      <vt:lpstr>R.UseCases.Complete!N_ActiveFlowType</vt:lpstr>
      <vt:lpstr>N_ActiveFlowType</vt:lpstr>
      <vt:lpstr>Object.DataEntities.Complete!N_ActiveTaskType</vt:lpstr>
      <vt:lpstr>R.AcceptanceCriteria!N_ActiveTaskType</vt:lpstr>
      <vt:lpstr>R.UseCases.Complete!N_ActiveTaskType</vt:lpstr>
      <vt:lpstr>N_ActiveTaskType</vt:lpstr>
      <vt:lpstr>Object.DataEntities.Complete!N_ActorType</vt:lpstr>
      <vt:lpstr>R.AcceptanceCriteria!N_ActorType</vt:lpstr>
      <vt:lpstr>R.UseCases.Complete!N_ActorType</vt:lpstr>
      <vt:lpstr>N_ActorType</vt:lpstr>
      <vt:lpstr>Object.DataEntities.Complete!N_ApplicationDomain</vt:lpstr>
      <vt:lpstr>R.AcceptanceCriteria!N_ApplicationDomain</vt:lpstr>
      <vt:lpstr>R.UseCases.Complete!N_ApplicationDomain</vt:lpstr>
      <vt:lpstr>N_ApplicationDomain</vt:lpstr>
      <vt:lpstr>N_Attribute</vt:lpstr>
      <vt:lpstr>Object.DataEntities.Complete!N_Boolean</vt:lpstr>
      <vt:lpstr>R.AcceptanceCriteria!N_Boolean</vt:lpstr>
      <vt:lpstr>R.UseCases.Complete!N_Boolean</vt:lpstr>
      <vt:lpstr>N_Boolean</vt:lpstr>
      <vt:lpstr>Object.DataEntities.Complete!N_ConstraintSubType</vt:lpstr>
      <vt:lpstr>R.AcceptanceCriteria!N_ConstraintSubType</vt:lpstr>
      <vt:lpstr>R.UseCases.Complete!N_ConstraintSubType</vt:lpstr>
      <vt:lpstr>N_ConstraintSubType</vt:lpstr>
      <vt:lpstr>Object.DataEntities.Complete!N_ConstraintType</vt:lpstr>
      <vt:lpstr>R.AcceptanceCriteria!N_ConstraintType</vt:lpstr>
      <vt:lpstr>R.UseCases.Complete!N_ConstraintType</vt:lpstr>
      <vt:lpstr>N_ConstraintType</vt:lpstr>
      <vt:lpstr>R.AcceptanceCriteria!N_DataAttributeType</vt:lpstr>
      <vt:lpstr>N_DataAttributeType</vt:lpstr>
      <vt:lpstr>R.AcceptanceCriteria!N_DataEntityCluster</vt:lpstr>
      <vt:lpstr>N_DataEntityCluster</vt:lpstr>
      <vt:lpstr>Object.DataEntities.Complete!N_DataEntityClusterType</vt:lpstr>
      <vt:lpstr>R.AcceptanceCriteria!N_DataEntityClusterType</vt:lpstr>
      <vt:lpstr>R.UseCases.Complete!N_DataEntityClusterType</vt:lpstr>
      <vt:lpstr>N_DataEntityClusterType</vt:lpstr>
      <vt:lpstr>R.AcceptanceCriteria!N_DataEntityConstraintType</vt:lpstr>
      <vt:lpstr>N_DataEntityConstraintType</vt:lpstr>
      <vt:lpstr>Object.DataEntities.Complete!N_DataEntitySubType</vt:lpstr>
      <vt:lpstr>R.AcceptanceCriteria!N_DataEntitySubType</vt:lpstr>
      <vt:lpstr>R.UseCases.Complete!N_DataEntitySubType</vt:lpstr>
      <vt:lpstr>N_DataEntitySubType</vt:lpstr>
      <vt:lpstr>Object.DataEntities.Complete!N_DataEntityType</vt:lpstr>
      <vt:lpstr>R.AcceptanceCriteria!N_DataEntityType</vt:lpstr>
      <vt:lpstr>R.UseCases.Complete!N_DataEntityType</vt:lpstr>
      <vt:lpstr>N_DataEntityType</vt:lpstr>
      <vt:lpstr>N_DataEntityTypes</vt:lpstr>
      <vt:lpstr>Object.DataEntities.Complete!N_DataEnumerationType</vt:lpstr>
      <vt:lpstr>R.AcceptanceCriteria!N_DataEnumerationType</vt:lpstr>
      <vt:lpstr>R.UseCases.Complete!N_DataEnumerationType</vt:lpstr>
      <vt:lpstr>N_DataEnumerationType</vt:lpstr>
      <vt:lpstr>Object.DataEntities.Complete!N_FRType</vt:lpstr>
      <vt:lpstr>R.AcceptanceCriteria!N_FRType</vt:lpstr>
      <vt:lpstr>R.UseCases.Complete!N_FRType</vt:lpstr>
      <vt:lpstr>N_FRType</vt:lpstr>
      <vt:lpstr>Object.DataEntities.Complete!N_GlossaryTermType</vt:lpstr>
      <vt:lpstr>R.AcceptanceCriteria!N_GlossaryTermType</vt:lpstr>
      <vt:lpstr>R.UseCases.Complete!N_GlossaryTermType</vt:lpstr>
      <vt:lpstr>N_GlossaryTermType</vt:lpstr>
      <vt:lpstr>Object.DataEntities.Complete!N_GoalSubType</vt:lpstr>
      <vt:lpstr>R.AcceptanceCriteria!N_GoalSubType</vt:lpstr>
      <vt:lpstr>R.UseCases.Complete!N_GoalSubType</vt:lpstr>
      <vt:lpstr>N_GoalSubType</vt:lpstr>
      <vt:lpstr>Object.DataEntities.Complete!N_GoalType</vt:lpstr>
      <vt:lpstr>R.AcceptanceCriteria!N_GoalType</vt:lpstr>
      <vt:lpstr>R.UseCases.Complete!N_GoalType</vt:lpstr>
      <vt:lpstr>N_GoalType</vt:lpstr>
      <vt:lpstr>Object.DataEntities.Complete!N_Metric</vt:lpstr>
      <vt:lpstr>R.AcceptanceCriteria!N_Metric</vt:lpstr>
      <vt:lpstr>R.UseCases.Complete!N_Metric</vt:lpstr>
      <vt:lpstr>N_Metric</vt:lpstr>
      <vt:lpstr>Object.DataEntities.Complete!N_PriorityType</vt:lpstr>
      <vt:lpstr>R.AcceptanceCriteria!N_PriorityType</vt:lpstr>
      <vt:lpstr>R.UseCases.Complete!N_PriorityType</vt:lpstr>
      <vt:lpstr>N_PriorityType</vt:lpstr>
      <vt:lpstr>Object.DataEntities.Complete!N_ProgressState</vt:lpstr>
      <vt:lpstr>R.AcceptanceCriteria!N_ProgressState</vt:lpstr>
      <vt:lpstr>R.UseCases.Complete!N_ProgressState</vt:lpstr>
      <vt:lpstr>N_ProgressState</vt:lpstr>
      <vt:lpstr>Object.DataEntities.Complete!N_ProjectType</vt:lpstr>
      <vt:lpstr>R.AcceptanceCriteria!N_ProjectType</vt:lpstr>
      <vt:lpstr>R.UseCases.Complete!N_ProjectType</vt:lpstr>
      <vt:lpstr>N_ProjectType</vt:lpstr>
      <vt:lpstr>Object.DataEntities.Complete!N_QRSubType</vt:lpstr>
      <vt:lpstr>R.AcceptanceCriteria!N_QRSubType</vt:lpstr>
      <vt:lpstr>R.UseCases.Complete!N_QRSubType</vt:lpstr>
      <vt:lpstr>N_QRSubType</vt:lpstr>
      <vt:lpstr>Object.DataEntities.Complete!N_QRType</vt:lpstr>
      <vt:lpstr>R.AcceptanceCriteria!N_QRType</vt:lpstr>
      <vt:lpstr>R.UseCases.Complete!N_QRType</vt:lpstr>
      <vt:lpstr>N_QRType</vt:lpstr>
      <vt:lpstr>Object.DataEntities.Complete!N_RelationalOperator</vt:lpstr>
      <vt:lpstr>R.AcceptanceCriteria!N_RelationalOperator</vt:lpstr>
      <vt:lpstr>R.UseCases.Complete!N_RelationalOperator</vt:lpstr>
      <vt:lpstr>N_RelationalOperator</vt:lpstr>
      <vt:lpstr>Object.DataEntities.Complete!N_RelationType</vt:lpstr>
      <vt:lpstr>R.AcceptanceCriteria!N_RelationType</vt:lpstr>
      <vt:lpstr>R.UseCases.Complete!N_RelationType</vt:lpstr>
      <vt:lpstr>N_RelationType</vt:lpstr>
      <vt:lpstr>Object.DataEntities.Complete!N_StakeholderSubType</vt:lpstr>
      <vt:lpstr>R.AcceptanceCriteria!N_StakeholderSubType</vt:lpstr>
      <vt:lpstr>R.UseCases.Complete!N_StakeholderSubType</vt:lpstr>
      <vt:lpstr>N_StakeholderSubType</vt:lpstr>
      <vt:lpstr>Object.DataEntities.Complete!N_StakeholderType</vt:lpstr>
      <vt:lpstr>R.AcceptanceCriteria!N_StakeholderType</vt:lpstr>
      <vt:lpstr>R.UseCases.Complete!N_StakeholderType</vt:lpstr>
      <vt:lpstr>N_StakeholderType</vt:lpstr>
      <vt:lpstr>Object.DataEntities.Complete!N_StateMachineType</vt:lpstr>
      <vt:lpstr>R.AcceptanceCriteria!N_StateMachineType</vt:lpstr>
      <vt:lpstr>R.UseCases.Complete!N_StateMachineType</vt:lpstr>
      <vt:lpstr>N_StateMachineType</vt:lpstr>
      <vt:lpstr>R.AcceptanceCriteria!N_SystemsRelationCategory</vt:lpstr>
      <vt:lpstr>N_SystemsRelationCategory</vt:lpstr>
      <vt:lpstr>Object.DataEntities.Complete!N_SystemSubType</vt:lpstr>
      <vt:lpstr>R.AcceptanceCriteria!N_SystemSubType</vt:lpstr>
      <vt:lpstr>R.UseCases.Complete!N_SystemSubType</vt:lpstr>
      <vt:lpstr>N_SystemSubType</vt:lpstr>
      <vt:lpstr>Object.DataEntities.Complete!N_SystemType</vt:lpstr>
      <vt:lpstr>R.AcceptanceCriteria!N_SystemType</vt:lpstr>
      <vt:lpstr>R.UseCases.Complete!N_SystemType</vt:lpstr>
      <vt:lpstr>N_SystemType</vt:lpstr>
      <vt:lpstr>Object.DataEntities.Complete!N_TermApplicableTo</vt:lpstr>
      <vt:lpstr>R.AcceptanceCriteria!N_TermApplicableTo</vt:lpstr>
      <vt:lpstr>R.UseCases.Complete!N_TermApplicableTo</vt:lpstr>
      <vt:lpstr>N_TermApplicableTo</vt:lpstr>
      <vt:lpstr>Object.DataEntities.Complete!N_TestType</vt:lpstr>
      <vt:lpstr>R.AcceptanceCriteria!N_TestType</vt:lpstr>
      <vt:lpstr>R.UseCases.Complete!N_TestType</vt:lpstr>
      <vt:lpstr>N_TestType</vt:lpstr>
      <vt:lpstr>R.AcceptanceCriteria!N_UCActionType</vt:lpstr>
      <vt:lpstr>N_UCActionType</vt:lpstr>
      <vt:lpstr>Object.DataEntities.Complete!N_UseCaseType</vt:lpstr>
      <vt:lpstr>R.AcceptanceCriteria!N_UseCaseType</vt:lpstr>
      <vt:lpstr>R.UseCases.Complete!N_UseCaseType</vt:lpstr>
      <vt:lpstr>N_UseCaseType</vt:lpstr>
      <vt:lpstr>Object.DataEntities.Complete!N_UserStoryType</vt:lpstr>
      <vt:lpstr>R.AcceptanceCriteria!N_UserStoryType</vt:lpstr>
      <vt:lpstr>R.UseCases.Complete!N_UserStoryType</vt:lpstr>
      <vt:lpstr>N_UserStoryType</vt:lpstr>
      <vt:lpstr>Object.DataEntities.Complete!N_VulnerabilityAttackVector</vt:lpstr>
      <vt:lpstr>R.AcceptanceCriteria!N_VulnerabilityAttackVector</vt:lpstr>
      <vt:lpstr>R.UseCases.Complete!N_VulnerabilityAttackVector</vt:lpstr>
      <vt:lpstr>N_VulnerabilityAttackVector</vt:lpstr>
      <vt:lpstr>Object.DataEntities.Complete!N_VulnerabilitySubType</vt:lpstr>
      <vt:lpstr>R.AcceptanceCriteria!N_VulnerabilitySubType</vt:lpstr>
      <vt:lpstr>R.UseCases.Complete!N_VulnerabilitySubType</vt:lpstr>
      <vt:lpstr>N_VulnerabilitySubType</vt:lpstr>
      <vt:lpstr>Object.DataEntities.Complete!N_VulnerabilityType</vt:lpstr>
      <vt:lpstr>R.AcceptanceCriteria!N_VulnerabilityType</vt:lpstr>
      <vt:lpstr>R.UseCases.Complete!N_VulnerabilityType</vt:lpstr>
      <vt:lpstr>N_VulnerabilityType</vt:lpstr>
      <vt:lpstr>R.AcceptanceCriteria!Theme_Name</vt:lpstr>
      <vt:lpstr>Theme_Name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dc:creator>
  <cp:lastModifiedBy>António Ferreira</cp:lastModifiedBy>
  <cp:lastPrinted>2016-05-30T12:17:28Z</cp:lastPrinted>
  <dcterms:created xsi:type="dcterms:W3CDTF">2015-01-20T12:16:12Z</dcterms:created>
  <dcterms:modified xsi:type="dcterms:W3CDTF">2023-08-23T00:53:06Z</dcterms:modified>
</cp:coreProperties>
</file>